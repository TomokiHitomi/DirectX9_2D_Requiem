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Hitomi\Documents\Visual Studio 2015\Projects\HAL_TomokiHitomi_DirectX9_2D_Requiem\"/>
    </mc:Choice>
  </mc:AlternateContent>
  <bookViews>
    <workbookView xWindow="0" yWindow="0" windowWidth="28770" windowHeight="12210"/>
  </bookViews>
  <sheets>
    <sheet name="SetEnemyEasy" sheetId="1" r:id="rId1"/>
    <sheet name="SetEnemyNormal" sheetId="4" r:id="rId2"/>
    <sheet name="SetEnemyHard" sheetId="6" r:id="rId3"/>
    <sheet name="enum" sheetId="2" r:id="rId4"/>
    <sheet name="SetEnemyEasyCSV" sheetId="3" r:id="rId5"/>
    <sheet name="SetEnemyNormalCSV" sheetId="5" r:id="rId6"/>
    <sheet name="SetEnemyHardCSV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0" i="6" l="1"/>
  <c r="F70" i="6"/>
  <c r="H70" i="6"/>
  <c r="J70" i="6"/>
  <c r="L70" i="6"/>
  <c r="R70" i="6"/>
  <c r="D71" i="6"/>
  <c r="F71" i="6"/>
  <c r="H71" i="6"/>
  <c r="J71" i="6"/>
  <c r="L71" i="6"/>
  <c r="R71" i="6"/>
  <c r="D72" i="6"/>
  <c r="F72" i="6"/>
  <c r="H72" i="6"/>
  <c r="J72" i="6"/>
  <c r="L72" i="6"/>
  <c r="R72" i="6"/>
  <c r="D73" i="6"/>
  <c r="F73" i="6"/>
  <c r="H73" i="6"/>
  <c r="J73" i="6"/>
  <c r="L73" i="6"/>
  <c r="R73" i="6"/>
  <c r="D74" i="6"/>
  <c r="F74" i="6"/>
  <c r="H74" i="6"/>
  <c r="J74" i="6"/>
  <c r="L74" i="6"/>
  <c r="R74" i="6"/>
  <c r="D75" i="6"/>
  <c r="F75" i="6"/>
  <c r="H75" i="6"/>
  <c r="J75" i="6"/>
  <c r="L75" i="6"/>
  <c r="R75" i="6"/>
  <c r="D76" i="6"/>
  <c r="F76" i="6"/>
  <c r="H76" i="6"/>
  <c r="J76" i="6"/>
  <c r="L76" i="6"/>
  <c r="R76" i="6"/>
  <c r="D77" i="6"/>
  <c r="F77" i="6"/>
  <c r="H77" i="6"/>
  <c r="J77" i="6"/>
  <c r="L77" i="6"/>
  <c r="R77" i="6"/>
  <c r="D78" i="6"/>
  <c r="F78" i="6"/>
  <c r="H78" i="6"/>
  <c r="J78" i="6"/>
  <c r="L78" i="6"/>
  <c r="R78" i="6"/>
  <c r="D79" i="6"/>
  <c r="F79" i="6"/>
  <c r="H79" i="6"/>
  <c r="J79" i="6"/>
  <c r="L79" i="6"/>
  <c r="R79" i="6"/>
  <c r="D80" i="6"/>
  <c r="F80" i="6"/>
  <c r="H80" i="6"/>
  <c r="J80" i="6"/>
  <c r="L80" i="6"/>
  <c r="R80" i="6"/>
  <c r="D81" i="6"/>
  <c r="F81" i="6"/>
  <c r="H81" i="6"/>
  <c r="J81" i="6"/>
  <c r="L81" i="6"/>
  <c r="R81" i="6"/>
  <c r="D82" i="6"/>
  <c r="F82" i="6"/>
  <c r="H82" i="6"/>
  <c r="J82" i="6"/>
  <c r="L82" i="6"/>
  <c r="R82" i="6"/>
  <c r="D83" i="6"/>
  <c r="F83" i="6"/>
  <c r="H83" i="6"/>
  <c r="J83" i="6"/>
  <c r="L83" i="6"/>
  <c r="R83" i="6"/>
  <c r="D84" i="6"/>
  <c r="F84" i="6"/>
  <c r="H84" i="6"/>
  <c r="J84" i="6"/>
  <c r="L84" i="6"/>
  <c r="R84" i="6"/>
  <c r="D85" i="6"/>
  <c r="F85" i="6"/>
  <c r="H85" i="6"/>
  <c r="J85" i="6"/>
  <c r="L85" i="6"/>
  <c r="R85" i="6"/>
  <c r="D86" i="6"/>
  <c r="F86" i="6"/>
  <c r="H86" i="6"/>
  <c r="J86" i="6"/>
  <c r="L86" i="6"/>
  <c r="R86" i="6"/>
  <c r="D87" i="6"/>
  <c r="F87" i="6"/>
  <c r="H87" i="6"/>
  <c r="J87" i="6"/>
  <c r="L87" i="6"/>
  <c r="R87" i="6"/>
  <c r="D88" i="6"/>
  <c r="F88" i="6"/>
  <c r="H88" i="6"/>
  <c r="J88" i="6"/>
  <c r="L88" i="6"/>
  <c r="R88" i="6"/>
  <c r="D89" i="6"/>
  <c r="F89" i="6"/>
  <c r="H89" i="6"/>
  <c r="J89" i="6"/>
  <c r="L89" i="6"/>
  <c r="R89" i="6"/>
  <c r="D90" i="6"/>
  <c r="F90" i="6"/>
  <c r="H90" i="6"/>
  <c r="J90" i="6"/>
  <c r="L90" i="6"/>
  <c r="R90" i="6"/>
  <c r="D91" i="6"/>
  <c r="F91" i="6"/>
  <c r="H91" i="6"/>
  <c r="J91" i="6"/>
  <c r="L91" i="6"/>
  <c r="R91" i="6"/>
  <c r="D92" i="6"/>
  <c r="F92" i="6"/>
  <c r="H92" i="6"/>
  <c r="J92" i="6"/>
  <c r="L92" i="6"/>
  <c r="R92" i="6"/>
  <c r="D93" i="6"/>
  <c r="F93" i="6"/>
  <c r="H93" i="6"/>
  <c r="J93" i="6"/>
  <c r="L93" i="6"/>
  <c r="R93" i="6"/>
  <c r="D94" i="6"/>
  <c r="F94" i="6"/>
  <c r="H94" i="6"/>
  <c r="J94" i="6"/>
  <c r="L94" i="6"/>
  <c r="R94" i="6"/>
  <c r="D95" i="6"/>
  <c r="F95" i="6"/>
  <c r="H95" i="6"/>
  <c r="J95" i="6"/>
  <c r="L95" i="6"/>
  <c r="R95" i="6"/>
  <c r="D96" i="6"/>
  <c r="F96" i="6"/>
  <c r="H96" i="6"/>
  <c r="J96" i="6"/>
  <c r="L96" i="6"/>
  <c r="R96" i="6"/>
  <c r="D97" i="6"/>
  <c r="F97" i="6"/>
  <c r="H97" i="6"/>
  <c r="J97" i="6"/>
  <c r="L97" i="6"/>
  <c r="R97" i="6"/>
  <c r="D98" i="6"/>
  <c r="F98" i="6"/>
  <c r="H98" i="6"/>
  <c r="J98" i="6"/>
  <c r="L98" i="6"/>
  <c r="R98" i="6"/>
  <c r="D99" i="6"/>
  <c r="F99" i="6"/>
  <c r="H99" i="6"/>
  <c r="J99" i="6"/>
  <c r="L99" i="6"/>
  <c r="R99" i="6"/>
  <c r="D100" i="6"/>
  <c r="F100" i="6"/>
  <c r="H100" i="6"/>
  <c r="J100" i="6"/>
  <c r="L100" i="6"/>
  <c r="R100" i="6"/>
  <c r="D101" i="6"/>
  <c r="F101" i="6"/>
  <c r="H101" i="6"/>
  <c r="J101" i="6"/>
  <c r="L101" i="6"/>
  <c r="R101" i="6"/>
  <c r="D102" i="6"/>
  <c r="F102" i="6"/>
  <c r="H102" i="6"/>
  <c r="J102" i="6"/>
  <c r="L102" i="6"/>
  <c r="R102" i="6"/>
  <c r="D103" i="6"/>
  <c r="F103" i="6"/>
  <c r="H103" i="6"/>
  <c r="J103" i="6"/>
  <c r="L103" i="6"/>
  <c r="R103" i="6"/>
  <c r="D104" i="6"/>
  <c r="F104" i="6"/>
  <c r="H104" i="6"/>
  <c r="J104" i="6"/>
  <c r="L104" i="6"/>
  <c r="R104" i="6"/>
  <c r="R69" i="6"/>
  <c r="L69" i="6"/>
  <c r="J69" i="6"/>
  <c r="H69" i="6"/>
  <c r="F69" i="6"/>
  <c r="D69" i="6"/>
  <c r="D70" i="4"/>
  <c r="F70" i="4"/>
  <c r="H70" i="4"/>
  <c r="J70" i="4"/>
  <c r="L70" i="4"/>
  <c r="R70" i="4"/>
  <c r="D71" i="4"/>
  <c r="F71" i="4"/>
  <c r="H71" i="4"/>
  <c r="J71" i="4"/>
  <c r="L71" i="4"/>
  <c r="R71" i="4"/>
  <c r="D72" i="4"/>
  <c r="F72" i="4"/>
  <c r="H72" i="4"/>
  <c r="J72" i="4"/>
  <c r="L72" i="4"/>
  <c r="R72" i="4"/>
  <c r="D73" i="4"/>
  <c r="F73" i="4"/>
  <c r="H73" i="4"/>
  <c r="J73" i="4"/>
  <c r="L73" i="4"/>
  <c r="R73" i="4"/>
  <c r="D74" i="4"/>
  <c r="F74" i="4"/>
  <c r="H74" i="4"/>
  <c r="J74" i="4"/>
  <c r="L74" i="4"/>
  <c r="R74" i="4"/>
  <c r="D75" i="4"/>
  <c r="F75" i="4"/>
  <c r="H75" i="4"/>
  <c r="J75" i="4"/>
  <c r="L75" i="4"/>
  <c r="R75" i="4"/>
  <c r="D76" i="4"/>
  <c r="F76" i="4"/>
  <c r="H76" i="4"/>
  <c r="J76" i="4"/>
  <c r="L76" i="4"/>
  <c r="R76" i="4"/>
  <c r="D77" i="4"/>
  <c r="F77" i="4"/>
  <c r="H77" i="4"/>
  <c r="J77" i="4"/>
  <c r="L77" i="4"/>
  <c r="R77" i="4"/>
  <c r="D78" i="4"/>
  <c r="F78" i="4"/>
  <c r="H78" i="4"/>
  <c r="J78" i="4"/>
  <c r="L78" i="4"/>
  <c r="R78" i="4"/>
  <c r="D79" i="4"/>
  <c r="F79" i="4"/>
  <c r="H79" i="4"/>
  <c r="J79" i="4"/>
  <c r="L79" i="4"/>
  <c r="R79" i="4"/>
  <c r="D80" i="4"/>
  <c r="F80" i="4"/>
  <c r="H80" i="4"/>
  <c r="J80" i="4"/>
  <c r="L80" i="4"/>
  <c r="R80" i="4"/>
  <c r="D81" i="4"/>
  <c r="F81" i="4"/>
  <c r="H81" i="4"/>
  <c r="J81" i="4"/>
  <c r="L81" i="4"/>
  <c r="R81" i="4"/>
  <c r="D82" i="4"/>
  <c r="F82" i="4"/>
  <c r="H82" i="4"/>
  <c r="J82" i="4"/>
  <c r="L82" i="4"/>
  <c r="R82" i="4"/>
  <c r="D83" i="4"/>
  <c r="F83" i="4"/>
  <c r="H83" i="4"/>
  <c r="J83" i="4"/>
  <c r="L83" i="4"/>
  <c r="R83" i="4"/>
  <c r="D84" i="4"/>
  <c r="F84" i="4"/>
  <c r="H84" i="4"/>
  <c r="J84" i="4"/>
  <c r="L84" i="4"/>
  <c r="R84" i="4"/>
  <c r="D85" i="4"/>
  <c r="F85" i="4"/>
  <c r="H85" i="4"/>
  <c r="J85" i="4"/>
  <c r="L85" i="4"/>
  <c r="R85" i="4"/>
  <c r="D86" i="4"/>
  <c r="F86" i="4"/>
  <c r="H86" i="4"/>
  <c r="J86" i="4"/>
  <c r="L86" i="4"/>
  <c r="R86" i="4"/>
  <c r="D87" i="4"/>
  <c r="F87" i="4"/>
  <c r="H87" i="4"/>
  <c r="J87" i="4"/>
  <c r="L87" i="4"/>
  <c r="R87" i="4"/>
  <c r="D88" i="4"/>
  <c r="F88" i="4"/>
  <c r="H88" i="4"/>
  <c r="J88" i="4"/>
  <c r="L88" i="4"/>
  <c r="R88" i="4"/>
  <c r="D89" i="4"/>
  <c r="F89" i="4"/>
  <c r="H89" i="4"/>
  <c r="J89" i="4"/>
  <c r="L89" i="4"/>
  <c r="R89" i="4"/>
  <c r="D90" i="4"/>
  <c r="F90" i="4"/>
  <c r="H90" i="4"/>
  <c r="J90" i="4"/>
  <c r="L90" i="4"/>
  <c r="R90" i="4"/>
  <c r="D91" i="4"/>
  <c r="F91" i="4"/>
  <c r="H91" i="4"/>
  <c r="J91" i="4"/>
  <c r="L91" i="4"/>
  <c r="R91" i="4"/>
  <c r="D92" i="4"/>
  <c r="F92" i="4"/>
  <c r="H92" i="4"/>
  <c r="J92" i="4"/>
  <c r="L92" i="4"/>
  <c r="R92" i="4"/>
  <c r="D93" i="4"/>
  <c r="F93" i="4"/>
  <c r="H93" i="4"/>
  <c r="J93" i="4"/>
  <c r="L93" i="4"/>
  <c r="R93" i="4"/>
  <c r="D94" i="4"/>
  <c r="F94" i="4"/>
  <c r="H94" i="4"/>
  <c r="J94" i="4"/>
  <c r="L94" i="4"/>
  <c r="R94" i="4"/>
  <c r="D95" i="4"/>
  <c r="F95" i="4"/>
  <c r="H95" i="4"/>
  <c r="J95" i="4"/>
  <c r="L95" i="4"/>
  <c r="R95" i="4"/>
  <c r="D96" i="4"/>
  <c r="F96" i="4"/>
  <c r="H96" i="4"/>
  <c r="J96" i="4"/>
  <c r="L96" i="4"/>
  <c r="R96" i="4"/>
  <c r="D97" i="4"/>
  <c r="F97" i="4"/>
  <c r="H97" i="4"/>
  <c r="J97" i="4"/>
  <c r="L97" i="4"/>
  <c r="R97" i="4"/>
  <c r="D98" i="4"/>
  <c r="F98" i="4"/>
  <c r="H98" i="4"/>
  <c r="J98" i="4"/>
  <c r="L98" i="4"/>
  <c r="R98" i="4"/>
  <c r="D99" i="4"/>
  <c r="F99" i="4"/>
  <c r="H99" i="4"/>
  <c r="J99" i="4"/>
  <c r="L99" i="4"/>
  <c r="R99" i="4"/>
  <c r="D100" i="4"/>
  <c r="F100" i="4"/>
  <c r="H100" i="4"/>
  <c r="J100" i="4"/>
  <c r="L100" i="4"/>
  <c r="R100" i="4"/>
  <c r="D101" i="4"/>
  <c r="F101" i="4"/>
  <c r="H101" i="4"/>
  <c r="J101" i="4"/>
  <c r="L101" i="4"/>
  <c r="R101" i="4"/>
  <c r="D102" i="4"/>
  <c r="F102" i="4"/>
  <c r="H102" i="4"/>
  <c r="J102" i="4"/>
  <c r="L102" i="4"/>
  <c r="R102" i="4"/>
  <c r="D103" i="4"/>
  <c r="F103" i="4"/>
  <c r="H103" i="4"/>
  <c r="J103" i="4"/>
  <c r="L103" i="4"/>
  <c r="R103" i="4"/>
  <c r="D104" i="4"/>
  <c r="F104" i="4"/>
  <c r="H104" i="4"/>
  <c r="J104" i="4"/>
  <c r="L104" i="4"/>
  <c r="R104" i="4"/>
  <c r="R69" i="4"/>
  <c r="L69" i="4"/>
  <c r="J69" i="4"/>
  <c r="H69" i="4"/>
  <c r="F69" i="4"/>
  <c r="D69" i="4"/>
  <c r="D71" i="1"/>
  <c r="F71" i="1"/>
  <c r="H71" i="1"/>
  <c r="J71" i="1"/>
  <c r="L71" i="1"/>
  <c r="R71" i="1"/>
  <c r="D72" i="1"/>
  <c r="F72" i="1"/>
  <c r="H72" i="1"/>
  <c r="J72" i="1"/>
  <c r="L72" i="1"/>
  <c r="R72" i="1"/>
  <c r="D73" i="1"/>
  <c r="F73" i="1"/>
  <c r="H73" i="1"/>
  <c r="J73" i="1"/>
  <c r="L73" i="1"/>
  <c r="R73" i="1"/>
  <c r="D74" i="1"/>
  <c r="F74" i="1"/>
  <c r="H74" i="1"/>
  <c r="J74" i="1"/>
  <c r="L74" i="1"/>
  <c r="R74" i="1"/>
  <c r="D75" i="1"/>
  <c r="F75" i="1"/>
  <c r="H75" i="1"/>
  <c r="J75" i="1"/>
  <c r="L75" i="1"/>
  <c r="R75" i="1"/>
  <c r="D76" i="1"/>
  <c r="F76" i="1"/>
  <c r="H76" i="1"/>
  <c r="J76" i="1"/>
  <c r="L76" i="1"/>
  <c r="R76" i="1"/>
  <c r="D77" i="1"/>
  <c r="F77" i="1"/>
  <c r="H77" i="1"/>
  <c r="J77" i="1"/>
  <c r="L77" i="1"/>
  <c r="R77" i="1"/>
  <c r="D78" i="1"/>
  <c r="F78" i="1"/>
  <c r="H78" i="1"/>
  <c r="J78" i="1"/>
  <c r="L78" i="1"/>
  <c r="R78" i="1"/>
  <c r="D79" i="1"/>
  <c r="F79" i="1"/>
  <c r="H79" i="1"/>
  <c r="J79" i="1"/>
  <c r="L79" i="1"/>
  <c r="R79" i="1"/>
  <c r="D80" i="1"/>
  <c r="F80" i="1"/>
  <c r="H80" i="1"/>
  <c r="J80" i="1"/>
  <c r="L80" i="1"/>
  <c r="R80" i="1"/>
  <c r="D81" i="1"/>
  <c r="F81" i="1"/>
  <c r="H81" i="1"/>
  <c r="J81" i="1"/>
  <c r="L81" i="1"/>
  <c r="R81" i="1"/>
  <c r="D82" i="1"/>
  <c r="F82" i="1"/>
  <c r="H82" i="1"/>
  <c r="J82" i="1"/>
  <c r="L82" i="1"/>
  <c r="R82" i="1"/>
  <c r="D83" i="1"/>
  <c r="F83" i="1"/>
  <c r="H83" i="1"/>
  <c r="J83" i="1"/>
  <c r="L83" i="1"/>
  <c r="R83" i="1"/>
  <c r="D84" i="1"/>
  <c r="F84" i="1"/>
  <c r="H84" i="1"/>
  <c r="J84" i="1"/>
  <c r="L84" i="1"/>
  <c r="R84" i="1"/>
  <c r="D85" i="1"/>
  <c r="F85" i="1"/>
  <c r="H85" i="1"/>
  <c r="J85" i="1"/>
  <c r="L85" i="1"/>
  <c r="R85" i="1"/>
  <c r="D86" i="1"/>
  <c r="F86" i="1"/>
  <c r="H86" i="1"/>
  <c r="J86" i="1"/>
  <c r="L86" i="1"/>
  <c r="R86" i="1"/>
  <c r="D87" i="1"/>
  <c r="F87" i="1"/>
  <c r="H87" i="1"/>
  <c r="J87" i="1"/>
  <c r="L87" i="1"/>
  <c r="R87" i="1"/>
  <c r="D88" i="1"/>
  <c r="F88" i="1"/>
  <c r="H88" i="1"/>
  <c r="J88" i="1"/>
  <c r="L88" i="1"/>
  <c r="R88" i="1"/>
  <c r="D89" i="1"/>
  <c r="F89" i="1"/>
  <c r="H89" i="1"/>
  <c r="J89" i="1"/>
  <c r="L89" i="1"/>
  <c r="R89" i="1"/>
  <c r="D90" i="1"/>
  <c r="F90" i="1"/>
  <c r="H90" i="1"/>
  <c r="J90" i="1"/>
  <c r="L90" i="1"/>
  <c r="R90" i="1"/>
  <c r="D91" i="1"/>
  <c r="F91" i="1"/>
  <c r="H91" i="1"/>
  <c r="J91" i="1"/>
  <c r="L91" i="1"/>
  <c r="R91" i="1"/>
  <c r="D92" i="1"/>
  <c r="F92" i="1"/>
  <c r="H92" i="1"/>
  <c r="J92" i="1"/>
  <c r="L92" i="1"/>
  <c r="R92" i="1"/>
  <c r="D93" i="1"/>
  <c r="F93" i="1"/>
  <c r="H93" i="1"/>
  <c r="J93" i="1"/>
  <c r="L93" i="1"/>
  <c r="R93" i="1"/>
  <c r="D94" i="1"/>
  <c r="F94" i="1"/>
  <c r="H94" i="1"/>
  <c r="J94" i="1"/>
  <c r="L94" i="1"/>
  <c r="R94" i="1"/>
  <c r="D95" i="1"/>
  <c r="F95" i="1"/>
  <c r="H95" i="1"/>
  <c r="J95" i="1"/>
  <c r="L95" i="1"/>
  <c r="R95" i="1"/>
  <c r="D96" i="1"/>
  <c r="F96" i="1"/>
  <c r="H96" i="1"/>
  <c r="J96" i="1"/>
  <c r="L96" i="1"/>
  <c r="R96" i="1"/>
  <c r="D97" i="1"/>
  <c r="F97" i="1"/>
  <c r="H97" i="1"/>
  <c r="J97" i="1"/>
  <c r="L97" i="1"/>
  <c r="R97" i="1"/>
  <c r="D98" i="1"/>
  <c r="F98" i="1"/>
  <c r="H98" i="1"/>
  <c r="J98" i="1"/>
  <c r="L98" i="1"/>
  <c r="R98" i="1"/>
  <c r="D99" i="1"/>
  <c r="F99" i="1"/>
  <c r="H99" i="1"/>
  <c r="J99" i="1"/>
  <c r="L99" i="1"/>
  <c r="R99" i="1"/>
  <c r="D100" i="1"/>
  <c r="F100" i="1"/>
  <c r="H100" i="1"/>
  <c r="J100" i="1"/>
  <c r="L100" i="1"/>
  <c r="R100" i="1"/>
  <c r="D101" i="1"/>
  <c r="F101" i="1"/>
  <c r="H101" i="1"/>
  <c r="J101" i="1"/>
  <c r="L101" i="1"/>
  <c r="R101" i="1"/>
  <c r="D102" i="1"/>
  <c r="F102" i="1"/>
  <c r="H102" i="1"/>
  <c r="J102" i="1"/>
  <c r="L102" i="1"/>
  <c r="R102" i="1"/>
  <c r="D103" i="1"/>
  <c r="F103" i="1"/>
  <c r="H103" i="1"/>
  <c r="J103" i="1"/>
  <c r="L103" i="1"/>
  <c r="R103" i="1"/>
  <c r="D104" i="1"/>
  <c r="F104" i="1"/>
  <c r="H104" i="1"/>
  <c r="J104" i="1"/>
  <c r="L104" i="1"/>
  <c r="R104" i="1"/>
  <c r="R70" i="1"/>
  <c r="L70" i="1"/>
  <c r="J70" i="1"/>
  <c r="H70" i="1"/>
  <c r="F70" i="1"/>
  <c r="D70" i="1"/>
  <c r="R69" i="1"/>
  <c r="L69" i="1"/>
  <c r="J69" i="1"/>
  <c r="H69" i="1"/>
  <c r="F69" i="1"/>
  <c r="D69" i="1"/>
  <c r="L99" i="7" l="1"/>
  <c r="K99" i="7"/>
  <c r="J99" i="7"/>
  <c r="I99" i="7"/>
  <c r="H99" i="7"/>
  <c r="G99" i="7"/>
  <c r="F99" i="7"/>
  <c r="E99" i="7"/>
  <c r="D99" i="7"/>
  <c r="C99" i="7"/>
  <c r="B99" i="7"/>
  <c r="A99" i="7"/>
  <c r="L98" i="7"/>
  <c r="K98" i="7"/>
  <c r="J98" i="7"/>
  <c r="I98" i="7"/>
  <c r="H98" i="7"/>
  <c r="G98" i="7"/>
  <c r="F98" i="7"/>
  <c r="E98" i="7"/>
  <c r="D98" i="7"/>
  <c r="C98" i="7"/>
  <c r="B98" i="7"/>
  <c r="A98" i="7"/>
  <c r="L97" i="7"/>
  <c r="K97" i="7"/>
  <c r="J97" i="7"/>
  <c r="I97" i="7"/>
  <c r="H97" i="7"/>
  <c r="G97" i="7"/>
  <c r="F97" i="7"/>
  <c r="E97" i="7"/>
  <c r="D97" i="7"/>
  <c r="C97" i="7"/>
  <c r="B97" i="7"/>
  <c r="A97" i="7"/>
  <c r="L96" i="7"/>
  <c r="K96" i="7"/>
  <c r="J96" i="7"/>
  <c r="I96" i="7"/>
  <c r="H96" i="7"/>
  <c r="G96" i="7"/>
  <c r="F96" i="7"/>
  <c r="E96" i="7"/>
  <c r="D96" i="7"/>
  <c r="C96" i="7"/>
  <c r="B96" i="7"/>
  <c r="A96" i="7"/>
  <c r="L95" i="7"/>
  <c r="K95" i="7"/>
  <c r="J95" i="7"/>
  <c r="I95" i="7"/>
  <c r="H95" i="7"/>
  <c r="G95" i="7"/>
  <c r="F95" i="7"/>
  <c r="E95" i="7"/>
  <c r="D95" i="7"/>
  <c r="C95" i="7"/>
  <c r="B95" i="7"/>
  <c r="A95" i="7"/>
  <c r="L94" i="7"/>
  <c r="K94" i="7"/>
  <c r="J94" i="7"/>
  <c r="I94" i="7"/>
  <c r="H94" i="7"/>
  <c r="G94" i="7"/>
  <c r="F94" i="7"/>
  <c r="E94" i="7"/>
  <c r="D94" i="7"/>
  <c r="C94" i="7"/>
  <c r="B94" i="7"/>
  <c r="A94" i="7"/>
  <c r="L93" i="7"/>
  <c r="K93" i="7"/>
  <c r="J93" i="7"/>
  <c r="I93" i="7"/>
  <c r="H93" i="7"/>
  <c r="G93" i="7"/>
  <c r="F93" i="7"/>
  <c r="E93" i="7"/>
  <c r="D93" i="7"/>
  <c r="C93" i="7"/>
  <c r="B93" i="7"/>
  <c r="A93" i="7"/>
  <c r="L92" i="7"/>
  <c r="K92" i="7"/>
  <c r="J92" i="7"/>
  <c r="I92" i="7"/>
  <c r="H92" i="7"/>
  <c r="G92" i="7"/>
  <c r="F92" i="7"/>
  <c r="E92" i="7"/>
  <c r="D92" i="7"/>
  <c r="C92" i="7"/>
  <c r="B92" i="7"/>
  <c r="A92" i="7"/>
  <c r="L91" i="7"/>
  <c r="K91" i="7"/>
  <c r="J91" i="7"/>
  <c r="I91" i="7"/>
  <c r="H91" i="7"/>
  <c r="G91" i="7"/>
  <c r="F91" i="7"/>
  <c r="E91" i="7"/>
  <c r="D91" i="7"/>
  <c r="C91" i="7"/>
  <c r="B91" i="7"/>
  <c r="A91" i="7"/>
  <c r="L90" i="7"/>
  <c r="K90" i="7"/>
  <c r="J90" i="7"/>
  <c r="I90" i="7"/>
  <c r="H90" i="7"/>
  <c r="G90" i="7"/>
  <c r="F90" i="7"/>
  <c r="E90" i="7"/>
  <c r="D90" i="7"/>
  <c r="C90" i="7"/>
  <c r="B90" i="7"/>
  <c r="A90" i="7"/>
  <c r="L89" i="7"/>
  <c r="K89" i="7"/>
  <c r="J89" i="7"/>
  <c r="I89" i="7"/>
  <c r="H89" i="7"/>
  <c r="G89" i="7"/>
  <c r="F89" i="7"/>
  <c r="E89" i="7"/>
  <c r="D89" i="7"/>
  <c r="C89" i="7"/>
  <c r="B89" i="7"/>
  <c r="A89" i="7"/>
  <c r="L88" i="7"/>
  <c r="K88" i="7"/>
  <c r="J88" i="7"/>
  <c r="I88" i="7"/>
  <c r="H88" i="7"/>
  <c r="G88" i="7"/>
  <c r="F88" i="7"/>
  <c r="E88" i="7"/>
  <c r="D88" i="7"/>
  <c r="C88" i="7"/>
  <c r="B88" i="7"/>
  <c r="A88" i="7"/>
  <c r="L87" i="7"/>
  <c r="K87" i="7"/>
  <c r="J87" i="7"/>
  <c r="I87" i="7"/>
  <c r="H87" i="7"/>
  <c r="G87" i="7"/>
  <c r="F87" i="7"/>
  <c r="E87" i="7"/>
  <c r="D87" i="7"/>
  <c r="C87" i="7"/>
  <c r="B87" i="7"/>
  <c r="A87" i="7"/>
  <c r="L86" i="7"/>
  <c r="K86" i="7"/>
  <c r="J86" i="7"/>
  <c r="I86" i="7"/>
  <c r="H86" i="7"/>
  <c r="G86" i="7"/>
  <c r="F86" i="7"/>
  <c r="E86" i="7"/>
  <c r="D86" i="7"/>
  <c r="C86" i="7"/>
  <c r="B86" i="7"/>
  <c r="A86" i="7"/>
  <c r="L85" i="7"/>
  <c r="K85" i="7"/>
  <c r="J85" i="7"/>
  <c r="I85" i="7"/>
  <c r="H85" i="7"/>
  <c r="G85" i="7"/>
  <c r="F85" i="7"/>
  <c r="E85" i="7"/>
  <c r="D85" i="7"/>
  <c r="C85" i="7"/>
  <c r="B85" i="7"/>
  <c r="A85" i="7"/>
  <c r="L84" i="7"/>
  <c r="K84" i="7"/>
  <c r="J84" i="7"/>
  <c r="I84" i="7"/>
  <c r="H84" i="7"/>
  <c r="G84" i="7"/>
  <c r="F84" i="7"/>
  <c r="E84" i="7"/>
  <c r="D84" i="7"/>
  <c r="C84" i="7"/>
  <c r="B84" i="7"/>
  <c r="A84" i="7"/>
  <c r="L83" i="7"/>
  <c r="K83" i="7"/>
  <c r="J83" i="7"/>
  <c r="I83" i="7"/>
  <c r="H83" i="7"/>
  <c r="G83" i="7"/>
  <c r="F83" i="7"/>
  <c r="E83" i="7"/>
  <c r="D83" i="7"/>
  <c r="C83" i="7"/>
  <c r="B83" i="7"/>
  <c r="A83" i="7"/>
  <c r="L82" i="7"/>
  <c r="K82" i="7"/>
  <c r="J82" i="7"/>
  <c r="I82" i="7"/>
  <c r="H82" i="7"/>
  <c r="G82" i="7"/>
  <c r="F82" i="7"/>
  <c r="E82" i="7"/>
  <c r="D82" i="7"/>
  <c r="C82" i="7"/>
  <c r="B82" i="7"/>
  <c r="A82" i="7"/>
  <c r="L81" i="7"/>
  <c r="K81" i="7"/>
  <c r="J81" i="7"/>
  <c r="I81" i="7"/>
  <c r="H81" i="7"/>
  <c r="G81" i="7"/>
  <c r="F81" i="7"/>
  <c r="E81" i="7"/>
  <c r="D81" i="7"/>
  <c r="C81" i="7"/>
  <c r="B81" i="7"/>
  <c r="A81" i="7"/>
  <c r="L80" i="7"/>
  <c r="K80" i="7"/>
  <c r="J80" i="7"/>
  <c r="I80" i="7"/>
  <c r="H80" i="7"/>
  <c r="G80" i="7"/>
  <c r="F80" i="7"/>
  <c r="E80" i="7"/>
  <c r="D80" i="7"/>
  <c r="C80" i="7"/>
  <c r="B80" i="7"/>
  <c r="A80" i="7"/>
  <c r="L79" i="7"/>
  <c r="K79" i="7"/>
  <c r="J79" i="7"/>
  <c r="I79" i="7"/>
  <c r="H79" i="7"/>
  <c r="G79" i="7"/>
  <c r="F79" i="7"/>
  <c r="E79" i="7"/>
  <c r="D79" i="7"/>
  <c r="C79" i="7"/>
  <c r="B79" i="7"/>
  <c r="A79" i="7"/>
  <c r="L78" i="7"/>
  <c r="K78" i="7"/>
  <c r="J78" i="7"/>
  <c r="I78" i="7"/>
  <c r="H78" i="7"/>
  <c r="G78" i="7"/>
  <c r="F78" i="7"/>
  <c r="E78" i="7"/>
  <c r="D78" i="7"/>
  <c r="C78" i="7"/>
  <c r="B78" i="7"/>
  <c r="A78" i="7"/>
  <c r="L77" i="7"/>
  <c r="K77" i="7"/>
  <c r="J77" i="7"/>
  <c r="I77" i="7"/>
  <c r="H77" i="7"/>
  <c r="G77" i="7"/>
  <c r="F77" i="7"/>
  <c r="E77" i="7"/>
  <c r="D77" i="7"/>
  <c r="C77" i="7"/>
  <c r="B77" i="7"/>
  <c r="A77" i="7"/>
  <c r="L76" i="7"/>
  <c r="K76" i="7"/>
  <c r="J76" i="7"/>
  <c r="I76" i="7"/>
  <c r="H76" i="7"/>
  <c r="G76" i="7"/>
  <c r="F76" i="7"/>
  <c r="E76" i="7"/>
  <c r="D76" i="7"/>
  <c r="C76" i="7"/>
  <c r="B76" i="7"/>
  <c r="A76" i="7"/>
  <c r="L75" i="7"/>
  <c r="K75" i="7"/>
  <c r="J75" i="7"/>
  <c r="I75" i="7"/>
  <c r="H75" i="7"/>
  <c r="G75" i="7"/>
  <c r="F75" i="7"/>
  <c r="E75" i="7"/>
  <c r="D75" i="7"/>
  <c r="C75" i="7"/>
  <c r="B75" i="7"/>
  <c r="A75" i="7"/>
  <c r="L74" i="7"/>
  <c r="K74" i="7"/>
  <c r="J74" i="7"/>
  <c r="I74" i="7"/>
  <c r="H74" i="7"/>
  <c r="G74" i="7"/>
  <c r="F74" i="7"/>
  <c r="E74" i="7"/>
  <c r="D74" i="7"/>
  <c r="C74" i="7"/>
  <c r="B74" i="7"/>
  <c r="A74" i="7"/>
  <c r="L73" i="7"/>
  <c r="K73" i="7"/>
  <c r="J73" i="7"/>
  <c r="I73" i="7"/>
  <c r="H73" i="7"/>
  <c r="G73" i="7"/>
  <c r="F73" i="7"/>
  <c r="E73" i="7"/>
  <c r="D73" i="7"/>
  <c r="C73" i="7"/>
  <c r="B73" i="7"/>
  <c r="A73" i="7"/>
  <c r="L72" i="7"/>
  <c r="K72" i="7"/>
  <c r="J72" i="7"/>
  <c r="I72" i="7"/>
  <c r="H72" i="7"/>
  <c r="G72" i="7"/>
  <c r="F72" i="7"/>
  <c r="E72" i="7"/>
  <c r="D72" i="7"/>
  <c r="C72" i="7"/>
  <c r="B72" i="7"/>
  <c r="A72" i="7"/>
  <c r="L71" i="7"/>
  <c r="K71" i="7"/>
  <c r="J71" i="7"/>
  <c r="I71" i="7"/>
  <c r="H71" i="7"/>
  <c r="G71" i="7"/>
  <c r="F71" i="7"/>
  <c r="E71" i="7"/>
  <c r="D71" i="7"/>
  <c r="C71" i="7"/>
  <c r="B71" i="7"/>
  <c r="A71" i="7"/>
  <c r="L70" i="7"/>
  <c r="K70" i="7"/>
  <c r="J70" i="7"/>
  <c r="I70" i="7"/>
  <c r="H70" i="7"/>
  <c r="G70" i="7"/>
  <c r="F70" i="7"/>
  <c r="E70" i="7"/>
  <c r="D70" i="7"/>
  <c r="C70" i="7"/>
  <c r="B70" i="7"/>
  <c r="A70" i="7"/>
  <c r="L69" i="7"/>
  <c r="K69" i="7"/>
  <c r="J69" i="7"/>
  <c r="I69" i="7"/>
  <c r="H69" i="7"/>
  <c r="G69" i="7"/>
  <c r="F69" i="7"/>
  <c r="E69" i="7"/>
  <c r="D69" i="7"/>
  <c r="C69" i="7"/>
  <c r="B69" i="7"/>
  <c r="A69" i="7"/>
  <c r="L68" i="7"/>
  <c r="K68" i="7"/>
  <c r="J68" i="7"/>
  <c r="I68" i="7"/>
  <c r="H68" i="7"/>
  <c r="G68" i="7"/>
  <c r="F68" i="7"/>
  <c r="E68" i="7"/>
  <c r="D68" i="7"/>
  <c r="C68" i="7"/>
  <c r="B68" i="7"/>
  <c r="A68" i="7"/>
  <c r="L67" i="7"/>
  <c r="K67" i="7"/>
  <c r="J67" i="7"/>
  <c r="I67" i="7"/>
  <c r="H67" i="7"/>
  <c r="G67" i="7"/>
  <c r="F67" i="7"/>
  <c r="E67" i="7"/>
  <c r="D67" i="7"/>
  <c r="C67" i="7"/>
  <c r="B67" i="7"/>
  <c r="A67" i="7"/>
  <c r="L66" i="7"/>
  <c r="K66" i="7"/>
  <c r="J66" i="7"/>
  <c r="I66" i="7"/>
  <c r="H66" i="7"/>
  <c r="G66" i="7"/>
  <c r="F66" i="7"/>
  <c r="E66" i="7"/>
  <c r="D66" i="7"/>
  <c r="C66" i="7"/>
  <c r="B66" i="7"/>
  <c r="A66" i="7"/>
  <c r="L65" i="7"/>
  <c r="K65" i="7"/>
  <c r="J65" i="7"/>
  <c r="I65" i="7"/>
  <c r="H65" i="7"/>
  <c r="G65" i="7"/>
  <c r="F65" i="7"/>
  <c r="E65" i="7"/>
  <c r="D65" i="7"/>
  <c r="C65" i="7"/>
  <c r="B65" i="7"/>
  <c r="A65" i="7"/>
  <c r="L64" i="7"/>
  <c r="K64" i="7"/>
  <c r="J64" i="7"/>
  <c r="I64" i="7"/>
  <c r="H64" i="7"/>
  <c r="G64" i="7"/>
  <c r="F64" i="7"/>
  <c r="E64" i="7"/>
  <c r="D64" i="7"/>
  <c r="C64" i="7"/>
  <c r="B64" i="7"/>
  <c r="A64" i="7"/>
  <c r="L63" i="7"/>
  <c r="K63" i="7"/>
  <c r="J63" i="7"/>
  <c r="I63" i="7"/>
  <c r="H63" i="7"/>
  <c r="G63" i="7"/>
  <c r="F63" i="7"/>
  <c r="A63" i="7"/>
  <c r="L62" i="7"/>
  <c r="K62" i="7"/>
  <c r="J62" i="7"/>
  <c r="I62" i="7"/>
  <c r="H62" i="7"/>
  <c r="G62" i="7"/>
  <c r="F62" i="7"/>
  <c r="E62" i="7"/>
  <c r="D62" i="7"/>
  <c r="C62" i="7"/>
  <c r="B62" i="7"/>
  <c r="A62" i="7"/>
  <c r="L61" i="7"/>
  <c r="K61" i="7"/>
  <c r="J61" i="7"/>
  <c r="I61" i="7"/>
  <c r="H61" i="7"/>
  <c r="G61" i="7"/>
  <c r="F61" i="7"/>
  <c r="E61" i="7"/>
  <c r="D61" i="7"/>
  <c r="C61" i="7"/>
  <c r="B61" i="7"/>
  <c r="A61" i="7"/>
  <c r="L60" i="7"/>
  <c r="K60" i="7"/>
  <c r="J60" i="7"/>
  <c r="I60" i="7"/>
  <c r="H60" i="7"/>
  <c r="G60" i="7"/>
  <c r="F60" i="7"/>
  <c r="E60" i="7"/>
  <c r="D60" i="7"/>
  <c r="C60" i="7"/>
  <c r="B60" i="7"/>
  <c r="A60" i="7"/>
  <c r="L59" i="7"/>
  <c r="K59" i="7"/>
  <c r="J59" i="7"/>
  <c r="I59" i="7"/>
  <c r="H59" i="7"/>
  <c r="G59" i="7"/>
  <c r="F59" i="7"/>
  <c r="E59" i="7"/>
  <c r="D59" i="7"/>
  <c r="C59" i="7"/>
  <c r="B59" i="7"/>
  <c r="A59" i="7"/>
  <c r="L58" i="7"/>
  <c r="K58" i="7"/>
  <c r="J58" i="7"/>
  <c r="I58" i="7"/>
  <c r="H58" i="7"/>
  <c r="G58" i="7"/>
  <c r="F58" i="7"/>
  <c r="E58" i="7"/>
  <c r="D58" i="7"/>
  <c r="C58" i="7"/>
  <c r="B58" i="7"/>
  <c r="A58" i="7"/>
  <c r="L57" i="7"/>
  <c r="K57" i="7"/>
  <c r="J57" i="7"/>
  <c r="I57" i="7"/>
  <c r="H57" i="7"/>
  <c r="G57" i="7"/>
  <c r="F57" i="7"/>
  <c r="E57" i="7"/>
  <c r="D57" i="7"/>
  <c r="C57" i="7"/>
  <c r="B57" i="7"/>
  <c r="A57" i="7"/>
  <c r="L56" i="7"/>
  <c r="K56" i="7"/>
  <c r="J56" i="7"/>
  <c r="I56" i="7"/>
  <c r="H56" i="7"/>
  <c r="G56" i="7"/>
  <c r="F56" i="7"/>
  <c r="E56" i="7"/>
  <c r="D56" i="7"/>
  <c r="C56" i="7"/>
  <c r="B56" i="7"/>
  <c r="A56" i="7"/>
  <c r="L55" i="7"/>
  <c r="K55" i="7"/>
  <c r="J55" i="7"/>
  <c r="I55" i="7"/>
  <c r="H55" i="7"/>
  <c r="G55" i="7"/>
  <c r="F55" i="7"/>
  <c r="E55" i="7"/>
  <c r="D55" i="7"/>
  <c r="C55" i="7"/>
  <c r="B55" i="7"/>
  <c r="A55" i="7"/>
  <c r="L54" i="7"/>
  <c r="K54" i="7"/>
  <c r="J54" i="7"/>
  <c r="I54" i="7"/>
  <c r="H54" i="7"/>
  <c r="G54" i="7"/>
  <c r="F54" i="7"/>
  <c r="E54" i="7"/>
  <c r="D54" i="7"/>
  <c r="C54" i="7"/>
  <c r="B54" i="7"/>
  <c r="A54" i="7"/>
  <c r="L53" i="7"/>
  <c r="K53" i="7"/>
  <c r="J53" i="7"/>
  <c r="I53" i="7"/>
  <c r="H53" i="7"/>
  <c r="G53" i="7"/>
  <c r="F53" i="7"/>
  <c r="E53" i="7"/>
  <c r="D53" i="7"/>
  <c r="C53" i="7"/>
  <c r="B53" i="7"/>
  <c r="A53" i="7"/>
  <c r="L52" i="7"/>
  <c r="K52" i="7"/>
  <c r="J52" i="7"/>
  <c r="I52" i="7"/>
  <c r="H52" i="7"/>
  <c r="G52" i="7"/>
  <c r="F52" i="7"/>
  <c r="E52" i="7"/>
  <c r="D52" i="7"/>
  <c r="C52" i="7"/>
  <c r="B52" i="7"/>
  <c r="A52" i="7"/>
  <c r="L51" i="7"/>
  <c r="K51" i="7"/>
  <c r="J51" i="7"/>
  <c r="I51" i="7"/>
  <c r="H51" i="7"/>
  <c r="G51" i="7"/>
  <c r="F51" i="7"/>
  <c r="E51" i="7"/>
  <c r="D51" i="7"/>
  <c r="C51" i="7"/>
  <c r="B51" i="7"/>
  <c r="A51" i="7"/>
  <c r="L50" i="7"/>
  <c r="K50" i="7"/>
  <c r="J50" i="7"/>
  <c r="I50" i="7"/>
  <c r="H50" i="7"/>
  <c r="G50" i="7"/>
  <c r="F50" i="7"/>
  <c r="E50" i="7"/>
  <c r="D50" i="7"/>
  <c r="C50" i="7"/>
  <c r="B50" i="7"/>
  <c r="A50" i="7"/>
  <c r="L49" i="7"/>
  <c r="K49" i="7"/>
  <c r="J49" i="7"/>
  <c r="I49" i="7"/>
  <c r="H49" i="7"/>
  <c r="G49" i="7"/>
  <c r="F49" i="7"/>
  <c r="E49" i="7"/>
  <c r="D49" i="7"/>
  <c r="C49" i="7"/>
  <c r="B49" i="7"/>
  <c r="A49" i="7"/>
  <c r="L48" i="7"/>
  <c r="K48" i="7"/>
  <c r="J48" i="7"/>
  <c r="I48" i="7"/>
  <c r="H48" i="7"/>
  <c r="G48" i="7"/>
  <c r="F48" i="7"/>
  <c r="E48" i="7"/>
  <c r="D48" i="7"/>
  <c r="C48" i="7"/>
  <c r="B48" i="7"/>
  <c r="A48" i="7"/>
  <c r="L47" i="7"/>
  <c r="K47" i="7"/>
  <c r="J47" i="7"/>
  <c r="I47" i="7"/>
  <c r="H47" i="7"/>
  <c r="G47" i="7"/>
  <c r="F47" i="7"/>
  <c r="E47" i="7"/>
  <c r="D47" i="7"/>
  <c r="C47" i="7"/>
  <c r="B47" i="7"/>
  <c r="A47" i="7"/>
  <c r="L46" i="7"/>
  <c r="K46" i="7"/>
  <c r="J46" i="7"/>
  <c r="I46" i="7"/>
  <c r="H46" i="7"/>
  <c r="G46" i="7"/>
  <c r="F46" i="7"/>
  <c r="E46" i="7"/>
  <c r="D46" i="7"/>
  <c r="C46" i="7"/>
  <c r="B46" i="7"/>
  <c r="A46" i="7"/>
  <c r="L45" i="7"/>
  <c r="K45" i="7"/>
  <c r="J45" i="7"/>
  <c r="I45" i="7"/>
  <c r="H45" i="7"/>
  <c r="G45" i="7"/>
  <c r="F45" i="7"/>
  <c r="E45" i="7"/>
  <c r="D45" i="7"/>
  <c r="C45" i="7"/>
  <c r="B45" i="7"/>
  <c r="A45" i="7"/>
  <c r="L44" i="7"/>
  <c r="K44" i="7"/>
  <c r="J44" i="7"/>
  <c r="I44" i="7"/>
  <c r="H44" i="7"/>
  <c r="G44" i="7"/>
  <c r="F44" i="7"/>
  <c r="E44" i="7"/>
  <c r="D44" i="7"/>
  <c r="C44" i="7"/>
  <c r="B44" i="7"/>
  <c r="A44" i="7"/>
  <c r="L43" i="7"/>
  <c r="K43" i="7"/>
  <c r="J43" i="7"/>
  <c r="I43" i="7"/>
  <c r="H43" i="7"/>
  <c r="G43" i="7"/>
  <c r="F43" i="7"/>
  <c r="E43" i="7"/>
  <c r="D43" i="7"/>
  <c r="C43" i="7"/>
  <c r="B43" i="7"/>
  <c r="A43" i="7"/>
  <c r="L42" i="7"/>
  <c r="K42" i="7"/>
  <c r="J42" i="7"/>
  <c r="I42" i="7"/>
  <c r="H42" i="7"/>
  <c r="G42" i="7"/>
  <c r="F42" i="7"/>
  <c r="E42" i="7"/>
  <c r="D42" i="7"/>
  <c r="C42" i="7"/>
  <c r="B42" i="7"/>
  <c r="A42" i="7"/>
  <c r="L41" i="7"/>
  <c r="K41" i="7"/>
  <c r="J41" i="7"/>
  <c r="I41" i="7"/>
  <c r="H41" i="7"/>
  <c r="G41" i="7"/>
  <c r="F41" i="7"/>
  <c r="E41" i="7"/>
  <c r="D41" i="7"/>
  <c r="C41" i="7"/>
  <c r="B41" i="7"/>
  <c r="A41" i="7"/>
  <c r="L40" i="7"/>
  <c r="K40" i="7"/>
  <c r="J40" i="7"/>
  <c r="I40" i="7"/>
  <c r="H40" i="7"/>
  <c r="G40" i="7"/>
  <c r="F40" i="7"/>
  <c r="E40" i="7"/>
  <c r="D40" i="7"/>
  <c r="C40" i="7"/>
  <c r="B40" i="7"/>
  <c r="A40" i="7"/>
  <c r="L39" i="7"/>
  <c r="K39" i="7"/>
  <c r="J39" i="7"/>
  <c r="I39" i="7"/>
  <c r="H39" i="7"/>
  <c r="G39" i="7"/>
  <c r="F39" i="7"/>
  <c r="E39" i="7"/>
  <c r="D39" i="7"/>
  <c r="C39" i="7"/>
  <c r="B39" i="7"/>
  <c r="A39" i="7"/>
  <c r="L38" i="7"/>
  <c r="K38" i="7"/>
  <c r="J38" i="7"/>
  <c r="I38" i="7"/>
  <c r="H38" i="7"/>
  <c r="G38" i="7"/>
  <c r="F38" i="7"/>
  <c r="E38" i="7"/>
  <c r="D38" i="7"/>
  <c r="C38" i="7"/>
  <c r="B38" i="7"/>
  <c r="A38" i="7"/>
  <c r="L37" i="7"/>
  <c r="K37" i="7"/>
  <c r="J37" i="7"/>
  <c r="I37" i="7"/>
  <c r="H37" i="7"/>
  <c r="G37" i="7"/>
  <c r="F37" i="7"/>
  <c r="E37" i="7"/>
  <c r="D37" i="7"/>
  <c r="C37" i="7"/>
  <c r="B37" i="7"/>
  <c r="A37" i="7"/>
  <c r="L36" i="7"/>
  <c r="K36" i="7"/>
  <c r="J36" i="7"/>
  <c r="I36" i="7"/>
  <c r="H36" i="7"/>
  <c r="G36" i="7"/>
  <c r="F36" i="7"/>
  <c r="E36" i="7"/>
  <c r="D36" i="7"/>
  <c r="C36" i="7"/>
  <c r="B36" i="7"/>
  <c r="A36" i="7"/>
  <c r="L35" i="7"/>
  <c r="K35" i="7"/>
  <c r="J35" i="7"/>
  <c r="I35" i="7"/>
  <c r="H35" i="7"/>
  <c r="G35" i="7"/>
  <c r="F35" i="7"/>
  <c r="E35" i="7"/>
  <c r="D35" i="7"/>
  <c r="C35" i="7"/>
  <c r="B35" i="7"/>
  <c r="A35" i="7"/>
  <c r="L34" i="7"/>
  <c r="K34" i="7"/>
  <c r="J34" i="7"/>
  <c r="I34" i="7"/>
  <c r="H34" i="7"/>
  <c r="G34" i="7"/>
  <c r="F34" i="7"/>
  <c r="E34" i="7"/>
  <c r="D34" i="7"/>
  <c r="C34" i="7"/>
  <c r="B34" i="7"/>
  <c r="A34" i="7"/>
  <c r="L33" i="7"/>
  <c r="K33" i="7"/>
  <c r="J33" i="7"/>
  <c r="I33" i="7"/>
  <c r="H33" i="7"/>
  <c r="G33" i="7"/>
  <c r="F33" i="7"/>
  <c r="E33" i="7"/>
  <c r="D33" i="7"/>
  <c r="C33" i="7"/>
  <c r="B33" i="7"/>
  <c r="A33" i="7"/>
  <c r="L32" i="7"/>
  <c r="K32" i="7"/>
  <c r="J32" i="7"/>
  <c r="I32" i="7"/>
  <c r="H32" i="7"/>
  <c r="G32" i="7"/>
  <c r="F32" i="7"/>
  <c r="E32" i="7"/>
  <c r="D32" i="7"/>
  <c r="C32" i="7"/>
  <c r="B32" i="7"/>
  <c r="A32" i="7"/>
  <c r="L31" i="7"/>
  <c r="K31" i="7"/>
  <c r="J31" i="7"/>
  <c r="I31" i="7"/>
  <c r="H31" i="7"/>
  <c r="G31" i="7"/>
  <c r="F31" i="7"/>
  <c r="E31" i="7"/>
  <c r="D31" i="7"/>
  <c r="C31" i="7"/>
  <c r="B31" i="7"/>
  <c r="A31" i="7"/>
  <c r="L30" i="7"/>
  <c r="K30" i="7"/>
  <c r="J30" i="7"/>
  <c r="I30" i="7"/>
  <c r="H30" i="7"/>
  <c r="G30" i="7"/>
  <c r="F30" i="7"/>
  <c r="E30" i="7"/>
  <c r="D30" i="7"/>
  <c r="C30" i="7"/>
  <c r="B30" i="7"/>
  <c r="A30" i="7"/>
  <c r="L29" i="7"/>
  <c r="K29" i="7"/>
  <c r="J29" i="7"/>
  <c r="I29" i="7"/>
  <c r="H29" i="7"/>
  <c r="G29" i="7"/>
  <c r="F29" i="7"/>
  <c r="E29" i="7"/>
  <c r="D29" i="7"/>
  <c r="C29" i="7"/>
  <c r="B29" i="7"/>
  <c r="A29" i="7"/>
  <c r="L28" i="7"/>
  <c r="K28" i="7"/>
  <c r="J28" i="7"/>
  <c r="I28" i="7"/>
  <c r="H28" i="7"/>
  <c r="G28" i="7"/>
  <c r="F28" i="7"/>
  <c r="E28" i="7"/>
  <c r="D28" i="7"/>
  <c r="C28" i="7"/>
  <c r="B28" i="7"/>
  <c r="A28" i="7"/>
  <c r="L27" i="7"/>
  <c r="K27" i="7"/>
  <c r="J27" i="7"/>
  <c r="I27" i="7"/>
  <c r="H27" i="7"/>
  <c r="G27" i="7"/>
  <c r="F27" i="7"/>
  <c r="E27" i="7"/>
  <c r="D27" i="7"/>
  <c r="C27" i="7"/>
  <c r="B27" i="7"/>
  <c r="A27" i="7"/>
  <c r="L26" i="7"/>
  <c r="K26" i="7"/>
  <c r="J26" i="7"/>
  <c r="I26" i="7"/>
  <c r="H26" i="7"/>
  <c r="G26" i="7"/>
  <c r="F26" i="7"/>
  <c r="E26" i="7"/>
  <c r="D26" i="7"/>
  <c r="C26" i="7"/>
  <c r="B26" i="7"/>
  <c r="A26" i="7"/>
  <c r="L25" i="7"/>
  <c r="K25" i="7"/>
  <c r="J25" i="7"/>
  <c r="I25" i="7"/>
  <c r="H25" i="7"/>
  <c r="G25" i="7"/>
  <c r="F25" i="7"/>
  <c r="E25" i="7"/>
  <c r="D25" i="7"/>
  <c r="C25" i="7"/>
  <c r="B25" i="7"/>
  <c r="A25" i="7"/>
  <c r="L24" i="7"/>
  <c r="K24" i="7"/>
  <c r="J24" i="7"/>
  <c r="I24" i="7"/>
  <c r="H24" i="7"/>
  <c r="G24" i="7"/>
  <c r="F24" i="7"/>
  <c r="E24" i="7"/>
  <c r="D24" i="7"/>
  <c r="C24" i="7"/>
  <c r="B24" i="7"/>
  <c r="A24" i="7"/>
  <c r="L23" i="7"/>
  <c r="K23" i="7"/>
  <c r="J23" i="7"/>
  <c r="I23" i="7"/>
  <c r="H23" i="7"/>
  <c r="G23" i="7"/>
  <c r="F23" i="7"/>
  <c r="E23" i="7"/>
  <c r="D23" i="7"/>
  <c r="C23" i="7"/>
  <c r="B23" i="7"/>
  <c r="A23" i="7"/>
  <c r="L22" i="7"/>
  <c r="K22" i="7"/>
  <c r="J22" i="7"/>
  <c r="I22" i="7"/>
  <c r="H22" i="7"/>
  <c r="G22" i="7"/>
  <c r="F22" i="7"/>
  <c r="E22" i="7"/>
  <c r="D22" i="7"/>
  <c r="C22" i="7"/>
  <c r="B22" i="7"/>
  <c r="A22" i="7"/>
  <c r="L21" i="7"/>
  <c r="K21" i="7"/>
  <c r="J21" i="7"/>
  <c r="I21" i="7"/>
  <c r="H21" i="7"/>
  <c r="G21" i="7"/>
  <c r="F21" i="7"/>
  <c r="E21" i="7"/>
  <c r="D21" i="7"/>
  <c r="C21" i="7"/>
  <c r="B21" i="7"/>
  <c r="A21" i="7"/>
  <c r="L20" i="7"/>
  <c r="K20" i="7"/>
  <c r="J20" i="7"/>
  <c r="I20" i="7"/>
  <c r="H20" i="7"/>
  <c r="G20" i="7"/>
  <c r="F20" i="7"/>
  <c r="E20" i="7"/>
  <c r="D20" i="7"/>
  <c r="C20" i="7"/>
  <c r="B20" i="7"/>
  <c r="A20" i="7"/>
  <c r="L19" i="7"/>
  <c r="K19" i="7"/>
  <c r="J19" i="7"/>
  <c r="I19" i="7"/>
  <c r="H19" i="7"/>
  <c r="G19" i="7"/>
  <c r="F19" i="7"/>
  <c r="E19" i="7"/>
  <c r="D19" i="7"/>
  <c r="C19" i="7"/>
  <c r="B19" i="7"/>
  <c r="A19" i="7"/>
  <c r="L18" i="7"/>
  <c r="K18" i="7"/>
  <c r="J18" i="7"/>
  <c r="I18" i="7"/>
  <c r="H18" i="7"/>
  <c r="G18" i="7"/>
  <c r="F18" i="7"/>
  <c r="E18" i="7"/>
  <c r="D18" i="7"/>
  <c r="C18" i="7"/>
  <c r="B18" i="7"/>
  <c r="A18" i="7"/>
  <c r="L17" i="7"/>
  <c r="K17" i="7"/>
  <c r="J17" i="7"/>
  <c r="I17" i="7"/>
  <c r="H17" i="7"/>
  <c r="G17" i="7"/>
  <c r="F17" i="7"/>
  <c r="E17" i="7"/>
  <c r="D17" i="7"/>
  <c r="C17" i="7"/>
  <c r="B17" i="7"/>
  <c r="A17" i="7"/>
  <c r="L16" i="7"/>
  <c r="K16" i="7"/>
  <c r="J16" i="7"/>
  <c r="I16" i="7"/>
  <c r="H16" i="7"/>
  <c r="G16" i="7"/>
  <c r="F16" i="7"/>
  <c r="E16" i="7"/>
  <c r="D16" i="7"/>
  <c r="C16" i="7"/>
  <c r="B16" i="7"/>
  <c r="A16" i="7"/>
  <c r="L15" i="7"/>
  <c r="K15" i="7"/>
  <c r="J15" i="7"/>
  <c r="I15" i="7"/>
  <c r="H15" i="7"/>
  <c r="G15" i="7"/>
  <c r="F15" i="7"/>
  <c r="E15" i="7"/>
  <c r="D15" i="7"/>
  <c r="C15" i="7"/>
  <c r="B15" i="7"/>
  <c r="A15" i="7"/>
  <c r="L14" i="7"/>
  <c r="K14" i="7"/>
  <c r="J14" i="7"/>
  <c r="I14" i="7"/>
  <c r="H14" i="7"/>
  <c r="G14" i="7"/>
  <c r="F14" i="7"/>
  <c r="E14" i="7"/>
  <c r="D14" i="7"/>
  <c r="C14" i="7"/>
  <c r="B14" i="7"/>
  <c r="A14" i="7"/>
  <c r="L13" i="7"/>
  <c r="K13" i="7"/>
  <c r="J13" i="7"/>
  <c r="I13" i="7"/>
  <c r="H13" i="7"/>
  <c r="G13" i="7"/>
  <c r="F13" i="7"/>
  <c r="E13" i="7"/>
  <c r="D13" i="7"/>
  <c r="C13" i="7"/>
  <c r="B13" i="7"/>
  <c r="A13" i="7"/>
  <c r="L12" i="7"/>
  <c r="K12" i="7"/>
  <c r="J12" i="7"/>
  <c r="I12" i="7"/>
  <c r="H12" i="7"/>
  <c r="G12" i="7"/>
  <c r="F12" i="7"/>
  <c r="E12" i="7"/>
  <c r="D12" i="7"/>
  <c r="C12" i="7"/>
  <c r="B12" i="7"/>
  <c r="A12" i="7"/>
  <c r="L11" i="7"/>
  <c r="K11" i="7"/>
  <c r="J11" i="7"/>
  <c r="I11" i="7"/>
  <c r="H11" i="7"/>
  <c r="G11" i="7"/>
  <c r="F11" i="7"/>
  <c r="E11" i="7"/>
  <c r="D11" i="7"/>
  <c r="C11" i="7"/>
  <c r="B11" i="7"/>
  <c r="A11" i="7"/>
  <c r="L10" i="7"/>
  <c r="K10" i="7"/>
  <c r="J10" i="7"/>
  <c r="I10" i="7"/>
  <c r="H10" i="7"/>
  <c r="G10" i="7"/>
  <c r="F10" i="7"/>
  <c r="E10" i="7"/>
  <c r="D10" i="7"/>
  <c r="C10" i="7"/>
  <c r="B10" i="7"/>
  <c r="A10" i="7"/>
  <c r="L9" i="7"/>
  <c r="K9" i="7"/>
  <c r="J9" i="7"/>
  <c r="I9" i="7"/>
  <c r="H9" i="7"/>
  <c r="G9" i="7"/>
  <c r="F9" i="7"/>
  <c r="E9" i="7"/>
  <c r="D9" i="7"/>
  <c r="C9" i="7"/>
  <c r="B9" i="7"/>
  <c r="A9" i="7"/>
  <c r="L8" i="7"/>
  <c r="K8" i="7"/>
  <c r="J8" i="7"/>
  <c r="I8" i="7"/>
  <c r="H8" i="7"/>
  <c r="G8" i="7"/>
  <c r="F8" i="7"/>
  <c r="E8" i="7"/>
  <c r="D8" i="7"/>
  <c r="C8" i="7"/>
  <c r="B8" i="7"/>
  <c r="A8" i="7"/>
  <c r="L7" i="7"/>
  <c r="K7" i="7"/>
  <c r="J7" i="7"/>
  <c r="I7" i="7"/>
  <c r="H7" i="7"/>
  <c r="G7" i="7"/>
  <c r="F7" i="7"/>
  <c r="E7" i="7"/>
  <c r="D7" i="7"/>
  <c r="C7" i="7"/>
  <c r="B7" i="7"/>
  <c r="A7" i="7"/>
  <c r="L6" i="7"/>
  <c r="K6" i="7"/>
  <c r="J6" i="7"/>
  <c r="I6" i="7"/>
  <c r="H6" i="7"/>
  <c r="G6" i="7"/>
  <c r="F6" i="7"/>
  <c r="E6" i="7"/>
  <c r="D6" i="7"/>
  <c r="C6" i="7"/>
  <c r="B6" i="7"/>
  <c r="A6" i="7"/>
  <c r="L5" i="7"/>
  <c r="K5" i="7"/>
  <c r="J5" i="7"/>
  <c r="I5" i="7"/>
  <c r="H5" i="7"/>
  <c r="G5" i="7"/>
  <c r="F5" i="7"/>
  <c r="E5" i="7"/>
  <c r="D5" i="7"/>
  <c r="C5" i="7"/>
  <c r="B5" i="7"/>
  <c r="A5" i="7"/>
  <c r="L4" i="7"/>
  <c r="K4" i="7"/>
  <c r="J4" i="7"/>
  <c r="I4" i="7"/>
  <c r="H4" i="7"/>
  <c r="G4" i="7"/>
  <c r="F4" i="7"/>
  <c r="E4" i="7"/>
  <c r="D4" i="7"/>
  <c r="C4" i="7"/>
  <c r="B4" i="7"/>
  <c r="A4" i="7"/>
  <c r="L3" i="7"/>
  <c r="K3" i="7"/>
  <c r="J3" i="7"/>
  <c r="I3" i="7"/>
  <c r="H3" i="7"/>
  <c r="G3" i="7"/>
  <c r="F3" i="7"/>
  <c r="E3" i="7"/>
  <c r="D3" i="7"/>
  <c r="C3" i="7"/>
  <c r="B3" i="7"/>
  <c r="A3" i="7"/>
  <c r="L2" i="7"/>
  <c r="K2" i="7"/>
  <c r="J2" i="7"/>
  <c r="I2" i="7"/>
  <c r="H2" i="7"/>
  <c r="G2" i="7"/>
  <c r="F2" i="7"/>
  <c r="E2" i="7"/>
  <c r="D2" i="7"/>
  <c r="C2" i="7"/>
  <c r="B2" i="7"/>
  <c r="A2" i="7"/>
  <c r="L1" i="7"/>
  <c r="K1" i="7"/>
  <c r="J1" i="7"/>
  <c r="I1" i="7"/>
  <c r="H1" i="7"/>
  <c r="G1" i="7"/>
  <c r="F1" i="7"/>
  <c r="E1" i="7"/>
  <c r="D1" i="7"/>
  <c r="C1" i="7"/>
  <c r="B1" i="7"/>
  <c r="A1" i="7"/>
  <c r="R68" i="6"/>
  <c r="L68" i="6"/>
  <c r="J68" i="6"/>
  <c r="E63" i="7" s="1"/>
  <c r="H68" i="6"/>
  <c r="D63" i="7" s="1"/>
  <c r="F68" i="6"/>
  <c r="C63" i="7" s="1"/>
  <c r="D68" i="6"/>
  <c r="B63" i="7" s="1"/>
  <c r="R67" i="6"/>
  <c r="L67" i="6"/>
  <c r="J67" i="6"/>
  <c r="H67" i="6"/>
  <c r="F67" i="6"/>
  <c r="D67" i="6"/>
  <c r="R66" i="6"/>
  <c r="L66" i="6"/>
  <c r="J66" i="6"/>
  <c r="H66" i="6"/>
  <c r="F66" i="6"/>
  <c r="D66" i="6"/>
  <c r="R65" i="6"/>
  <c r="L65" i="6"/>
  <c r="J65" i="6"/>
  <c r="H65" i="6"/>
  <c r="F65" i="6"/>
  <c r="D65" i="6"/>
  <c r="R64" i="6"/>
  <c r="L64" i="6"/>
  <c r="J64" i="6"/>
  <c r="H64" i="6"/>
  <c r="F64" i="6"/>
  <c r="D64" i="6"/>
  <c r="R63" i="6"/>
  <c r="L63" i="6"/>
  <c r="J63" i="6"/>
  <c r="H63" i="6"/>
  <c r="F63" i="6"/>
  <c r="D63" i="6"/>
  <c r="R62" i="6"/>
  <c r="L62" i="6"/>
  <c r="J62" i="6"/>
  <c r="H62" i="6"/>
  <c r="F62" i="6"/>
  <c r="D62" i="6"/>
  <c r="R61" i="6"/>
  <c r="L61" i="6"/>
  <c r="J61" i="6"/>
  <c r="H61" i="6"/>
  <c r="F61" i="6"/>
  <c r="D61" i="6"/>
  <c r="R60" i="6"/>
  <c r="L60" i="6"/>
  <c r="J60" i="6"/>
  <c r="H60" i="6"/>
  <c r="F60" i="6"/>
  <c r="D60" i="6"/>
  <c r="R59" i="6"/>
  <c r="L59" i="6"/>
  <c r="J59" i="6"/>
  <c r="H59" i="6"/>
  <c r="F59" i="6"/>
  <c r="D59" i="6"/>
  <c r="R58" i="6"/>
  <c r="L58" i="6"/>
  <c r="J58" i="6"/>
  <c r="H58" i="6"/>
  <c r="F58" i="6"/>
  <c r="D58" i="6"/>
  <c r="R57" i="6"/>
  <c r="L57" i="6"/>
  <c r="J57" i="6"/>
  <c r="H57" i="6"/>
  <c r="F57" i="6"/>
  <c r="D57" i="6"/>
  <c r="R56" i="6"/>
  <c r="L56" i="6"/>
  <c r="J56" i="6"/>
  <c r="H56" i="6"/>
  <c r="F56" i="6"/>
  <c r="D56" i="6"/>
  <c r="R55" i="6"/>
  <c r="L55" i="6"/>
  <c r="J55" i="6"/>
  <c r="H55" i="6"/>
  <c r="F55" i="6"/>
  <c r="D55" i="6"/>
  <c r="R54" i="6"/>
  <c r="L54" i="6"/>
  <c r="J54" i="6"/>
  <c r="H54" i="6"/>
  <c r="F54" i="6"/>
  <c r="D54" i="6"/>
  <c r="R53" i="6"/>
  <c r="L53" i="6"/>
  <c r="J53" i="6"/>
  <c r="H53" i="6"/>
  <c r="F53" i="6"/>
  <c r="D53" i="6"/>
  <c r="R52" i="6"/>
  <c r="L52" i="6"/>
  <c r="J52" i="6"/>
  <c r="H52" i="6"/>
  <c r="F52" i="6"/>
  <c r="D52" i="6"/>
  <c r="R51" i="6"/>
  <c r="L51" i="6"/>
  <c r="J51" i="6"/>
  <c r="H51" i="6"/>
  <c r="F51" i="6"/>
  <c r="D51" i="6"/>
  <c r="R50" i="6"/>
  <c r="L50" i="6"/>
  <c r="J50" i="6"/>
  <c r="H50" i="6"/>
  <c r="F50" i="6"/>
  <c r="D50" i="6"/>
  <c r="R49" i="6"/>
  <c r="L49" i="6"/>
  <c r="J49" i="6"/>
  <c r="H49" i="6"/>
  <c r="F49" i="6"/>
  <c r="D49" i="6"/>
  <c r="R48" i="6"/>
  <c r="L48" i="6"/>
  <c r="J48" i="6"/>
  <c r="H48" i="6"/>
  <c r="F48" i="6"/>
  <c r="D48" i="6"/>
  <c r="R47" i="6"/>
  <c r="L47" i="6"/>
  <c r="J47" i="6"/>
  <c r="H47" i="6"/>
  <c r="F47" i="6"/>
  <c r="D47" i="6"/>
  <c r="R46" i="6"/>
  <c r="L46" i="6"/>
  <c r="J46" i="6"/>
  <c r="H46" i="6"/>
  <c r="F46" i="6"/>
  <c r="D46" i="6"/>
  <c r="R45" i="6"/>
  <c r="L45" i="6"/>
  <c r="J45" i="6"/>
  <c r="H45" i="6"/>
  <c r="F45" i="6"/>
  <c r="D45" i="6"/>
  <c r="R44" i="6"/>
  <c r="L44" i="6"/>
  <c r="J44" i="6"/>
  <c r="H44" i="6"/>
  <c r="F44" i="6"/>
  <c r="D44" i="6"/>
  <c r="R43" i="6"/>
  <c r="L43" i="6"/>
  <c r="J43" i="6"/>
  <c r="H43" i="6"/>
  <c r="F43" i="6"/>
  <c r="D43" i="6"/>
  <c r="R42" i="6"/>
  <c r="L42" i="6"/>
  <c r="J42" i="6"/>
  <c r="H42" i="6"/>
  <c r="F42" i="6"/>
  <c r="D42" i="6"/>
  <c r="R41" i="6"/>
  <c r="L41" i="6"/>
  <c r="J41" i="6"/>
  <c r="H41" i="6"/>
  <c r="F41" i="6"/>
  <c r="D41" i="6"/>
  <c r="R40" i="6"/>
  <c r="L40" i="6"/>
  <c r="J40" i="6"/>
  <c r="H40" i="6"/>
  <c r="F40" i="6"/>
  <c r="D40" i="6"/>
  <c r="R39" i="6"/>
  <c r="L39" i="6"/>
  <c r="J39" i="6"/>
  <c r="H39" i="6"/>
  <c r="F39" i="6"/>
  <c r="D39" i="6"/>
  <c r="R38" i="6"/>
  <c r="L38" i="6"/>
  <c r="J38" i="6"/>
  <c r="H38" i="6"/>
  <c r="F38" i="6"/>
  <c r="D38" i="6"/>
  <c r="R37" i="6"/>
  <c r="L37" i="6"/>
  <c r="J37" i="6"/>
  <c r="H37" i="6"/>
  <c r="F37" i="6"/>
  <c r="D37" i="6"/>
  <c r="R36" i="6"/>
  <c r="L36" i="6"/>
  <c r="J36" i="6"/>
  <c r="H36" i="6"/>
  <c r="F36" i="6"/>
  <c r="D36" i="6"/>
  <c r="R35" i="6"/>
  <c r="L35" i="6"/>
  <c r="J35" i="6"/>
  <c r="H35" i="6"/>
  <c r="F35" i="6"/>
  <c r="D35" i="6"/>
  <c r="R34" i="6"/>
  <c r="L34" i="6"/>
  <c r="J34" i="6"/>
  <c r="H34" i="6"/>
  <c r="F34" i="6"/>
  <c r="D34" i="6"/>
  <c r="R33" i="6"/>
  <c r="L33" i="6"/>
  <c r="J33" i="6"/>
  <c r="H33" i="6"/>
  <c r="F33" i="6"/>
  <c r="D33" i="6"/>
  <c r="R32" i="6"/>
  <c r="L32" i="6"/>
  <c r="J32" i="6"/>
  <c r="H32" i="6"/>
  <c r="F32" i="6"/>
  <c r="D32" i="6"/>
  <c r="R31" i="6"/>
  <c r="L31" i="6"/>
  <c r="J31" i="6"/>
  <c r="H31" i="6"/>
  <c r="F31" i="6"/>
  <c r="D31" i="6"/>
  <c r="R30" i="6"/>
  <c r="L30" i="6"/>
  <c r="J30" i="6"/>
  <c r="H30" i="6"/>
  <c r="F30" i="6"/>
  <c r="D30" i="6"/>
  <c r="R29" i="6"/>
  <c r="L29" i="6"/>
  <c r="J29" i="6"/>
  <c r="H29" i="6"/>
  <c r="F29" i="6"/>
  <c r="D29" i="6"/>
  <c r="R28" i="6"/>
  <c r="L28" i="6"/>
  <c r="J28" i="6"/>
  <c r="H28" i="6"/>
  <c r="F28" i="6"/>
  <c r="D28" i="6"/>
  <c r="R27" i="6"/>
  <c r="L27" i="6"/>
  <c r="J27" i="6"/>
  <c r="H27" i="6"/>
  <c r="F27" i="6"/>
  <c r="D27" i="6"/>
  <c r="R26" i="6"/>
  <c r="L26" i="6"/>
  <c r="J26" i="6"/>
  <c r="H26" i="6"/>
  <c r="F26" i="6"/>
  <c r="D26" i="6"/>
  <c r="R25" i="6"/>
  <c r="L25" i="6"/>
  <c r="J25" i="6"/>
  <c r="H25" i="6"/>
  <c r="F25" i="6"/>
  <c r="D25" i="6"/>
  <c r="R24" i="6"/>
  <c r="L24" i="6"/>
  <c r="J24" i="6"/>
  <c r="H24" i="6"/>
  <c r="F24" i="6"/>
  <c r="D24" i="6"/>
  <c r="R23" i="6"/>
  <c r="L23" i="6"/>
  <c r="J23" i="6"/>
  <c r="H23" i="6"/>
  <c r="F23" i="6"/>
  <c r="D23" i="6"/>
  <c r="R22" i="6"/>
  <c r="L22" i="6"/>
  <c r="J22" i="6"/>
  <c r="H22" i="6"/>
  <c r="F22" i="6"/>
  <c r="D22" i="6"/>
  <c r="R21" i="6"/>
  <c r="L21" i="6"/>
  <c r="J21" i="6"/>
  <c r="H21" i="6"/>
  <c r="F21" i="6"/>
  <c r="D21" i="6"/>
  <c r="R20" i="6"/>
  <c r="L20" i="6"/>
  <c r="J20" i="6"/>
  <c r="H20" i="6"/>
  <c r="F20" i="6"/>
  <c r="D20" i="6"/>
  <c r="R19" i="6"/>
  <c r="L19" i="6"/>
  <c r="J19" i="6"/>
  <c r="H19" i="6"/>
  <c r="F19" i="6"/>
  <c r="D19" i="6"/>
  <c r="R18" i="6"/>
  <c r="L18" i="6"/>
  <c r="J18" i="6"/>
  <c r="H18" i="6"/>
  <c r="F18" i="6"/>
  <c r="D18" i="6"/>
  <c r="R17" i="6"/>
  <c r="L17" i="6"/>
  <c r="J17" i="6"/>
  <c r="H17" i="6"/>
  <c r="F17" i="6"/>
  <c r="D17" i="6"/>
  <c r="R16" i="6"/>
  <c r="L16" i="6"/>
  <c r="J16" i="6"/>
  <c r="H16" i="6"/>
  <c r="F16" i="6"/>
  <c r="D16" i="6"/>
  <c r="R15" i="6"/>
  <c r="L15" i="6"/>
  <c r="J15" i="6"/>
  <c r="H15" i="6"/>
  <c r="F15" i="6"/>
  <c r="D15" i="6"/>
  <c r="R14" i="6"/>
  <c r="L14" i="6"/>
  <c r="J14" i="6"/>
  <c r="H14" i="6"/>
  <c r="F14" i="6"/>
  <c r="D14" i="6"/>
  <c r="R13" i="6"/>
  <c r="L13" i="6"/>
  <c r="J13" i="6"/>
  <c r="H13" i="6"/>
  <c r="F13" i="6"/>
  <c r="D13" i="6"/>
  <c r="R12" i="6"/>
  <c r="L12" i="6"/>
  <c r="J12" i="6"/>
  <c r="H12" i="6"/>
  <c r="F12" i="6"/>
  <c r="D12" i="6"/>
  <c r="R11" i="6"/>
  <c r="L11" i="6"/>
  <c r="J11" i="6"/>
  <c r="H11" i="6"/>
  <c r="F11" i="6"/>
  <c r="D11" i="6"/>
  <c r="R10" i="6"/>
  <c r="L10" i="6"/>
  <c r="J10" i="6"/>
  <c r="H10" i="6"/>
  <c r="F10" i="6"/>
  <c r="D10" i="6"/>
  <c r="R9" i="6"/>
  <c r="L9" i="6"/>
  <c r="J9" i="6"/>
  <c r="H9" i="6"/>
  <c r="F9" i="6"/>
  <c r="D9" i="6"/>
  <c r="R8" i="6"/>
  <c r="L8" i="6"/>
  <c r="J8" i="6"/>
  <c r="H8" i="6"/>
  <c r="F8" i="6"/>
  <c r="D8" i="6"/>
  <c r="R7" i="6"/>
  <c r="L7" i="6"/>
  <c r="J7" i="6"/>
  <c r="H7" i="6"/>
  <c r="F7" i="6"/>
  <c r="D7" i="6"/>
  <c r="R6" i="6"/>
  <c r="L6" i="6"/>
  <c r="J6" i="6"/>
  <c r="H6" i="6"/>
  <c r="F6" i="6"/>
  <c r="D6" i="6"/>
  <c r="L33" i="4"/>
  <c r="F28" i="5" s="1"/>
  <c r="L32" i="4"/>
  <c r="L99" i="5"/>
  <c r="K99" i="5"/>
  <c r="J99" i="5"/>
  <c r="I99" i="5"/>
  <c r="H99" i="5"/>
  <c r="G99" i="5"/>
  <c r="F99" i="5"/>
  <c r="E99" i="5"/>
  <c r="D99" i="5"/>
  <c r="C99" i="5"/>
  <c r="B99" i="5"/>
  <c r="A99" i="5"/>
  <c r="L98" i="5"/>
  <c r="K98" i="5"/>
  <c r="J98" i="5"/>
  <c r="I98" i="5"/>
  <c r="H98" i="5"/>
  <c r="G98" i="5"/>
  <c r="F98" i="5"/>
  <c r="E98" i="5"/>
  <c r="D98" i="5"/>
  <c r="C98" i="5"/>
  <c r="B98" i="5"/>
  <c r="A98" i="5"/>
  <c r="L97" i="5"/>
  <c r="K97" i="5"/>
  <c r="J97" i="5"/>
  <c r="I97" i="5"/>
  <c r="H97" i="5"/>
  <c r="G97" i="5"/>
  <c r="F97" i="5"/>
  <c r="E97" i="5"/>
  <c r="D97" i="5"/>
  <c r="C97" i="5"/>
  <c r="B97" i="5"/>
  <c r="A97" i="5"/>
  <c r="L96" i="5"/>
  <c r="K96" i="5"/>
  <c r="J96" i="5"/>
  <c r="I96" i="5"/>
  <c r="H96" i="5"/>
  <c r="G96" i="5"/>
  <c r="F96" i="5"/>
  <c r="E96" i="5"/>
  <c r="D96" i="5"/>
  <c r="C96" i="5"/>
  <c r="B96" i="5"/>
  <c r="A96" i="5"/>
  <c r="L95" i="5"/>
  <c r="K95" i="5"/>
  <c r="J95" i="5"/>
  <c r="I95" i="5"/>
  <c r="H95" i="5"/>
  <c r="G95" i="5"/>
  <c r="F95" i="5"/>
  <c r="E95" i="5"/>
  <c r="D95" i="5"/>
  <c r="C95" i="5"/>
  <c r="B95" i="5"/>
  <c r="A95" i="5"/>
  <c r="L94" i="5"/>
  <c r="K94" i="5"/>
  <c r="J94" i="5"/>
  <c r="I94" i="5"/>
  <c r="H94" i="5"/>
  <c r="G94" i="5"/>
  <c r="F94" i="5"/>
  <c r="E94" i="5"/>
  <c r="D94" i="5"/>
  <c r="C94" i="5"/>
  <c r="B94" i="5"/>
  <c r="A94" i="5"/>
  <c r="L93" i="5"/>
  <c r="K93" i="5"/>
  <c r="J93" i="5"/>
  <c r="I93" i="5"/>
  <c r="H93" i="5"/>
  <c r="G93" i="5"/>
  <c r="F93" i="5"/>
  <c r="E93" i="5"/>
  <c r="D93" i="5"/>
  <c r="C93" i="5"/>
  <c r="B93" i="5"/>
  <c r="A93" i="5"/>
  <c r="L92" i="5"/>
  <c r="K92" i="5"/>
  <c r="J92" i="5"/>
  <c r="I92" i="5"/>
  <c r="H92" i="5"/>
  <c r="G92" i="5"/>
  <c r="F92" i="5"/>
  <c r="E92" i="5"/>
  <c r="D92" i="5"/>
  <c r="C92" i="5"/>
  <c r="B92" i="5"/>
  <c r="A92" i="5"/>
  <c r="L91" i="5"/>
  <c r="K91" i="5"/>
  <c r="J91" i="5"/>
  <c r="I91" i="5"/>
  <c r="H91" i="5"/>
  <c r="G91" i="5"/>
  <c r="F91" i="5"/>
  <c r="E91" i="5"/>
  <c r="D91" i="5"/>
  <c r="C91" i="5"/>
  <c r="B91" i="5"/>
  <c r="A91" i="5"/>
  <c r="L90" i="5"/>
  <c r="K90" i="5"/>
  <c r="J90" i="5"/>
  <c r="I90" i="5"/>
  <c r="H90" i="5"/>
  <c r="G90" i="5"/>
  <c r="F90" i="5"/>
  <c r="E90" i="5"/>
  <c r="D90" i="5"/>
  <c r="C90" i="5"/>
  <c r="B90" i="5"/>
  <c r="A90" i="5"/>
  <c r="L89" i="5"/>
  <c r="K89" i="5"/>
  <c r="J89" i="5"/>
  <c r="I89" i="5"/>
  <c r="H89" i="5"/>
  <c r="G89" i="5"/>
  <c r="F89" i="5"/>
  <c r="E89" i="5"/>
  <c r="D89" i="5"/>
  <c r="C89" i="5"/>
  <c r="B89" i="5"/>
  <c r="A89" i="5"/>
  <c r="L88" i="5"/>
  <c r="K88" i="5"/>
  <c r="J88" i="5"/>
  <c r="I88" i="5"/>
  <c r="H88" i="5"/>
  <c r="G88" i="5"/>
  <c r="F88" i="5"/>
  <c r="E88" i="5"/>
  <c r="D88" i="5"/>
  <c r="C88" i="5"/>
  <c r="B88" i="5"/>
  <c r="A88" i="5"/>
  <c r="L87" i="5"/>
  <c r="K87" i="5"/>
  <c r="J87" i="5"/>
  <c r="I87" i="5"/>
  <c r="H87" i="5"/>
  <c r="G87" i="5"/>
  <c r="F87" i="5"/>
  <c r="E87" i="5"/>
  <c r="D87" i="5"/>
  <c r="C87" i="5"/>
  <c r="B87" i="5"/>
  <c r="A87" i="5"/>
  <c r="L86" i="5"/>
  <c r="K86" i="5"/>
  <c r="J86" i="5"/>
  <c r="I86" i="5"/>
  <c r="H86" i="5"/>
  <c r="G86" i="5"/>
  <c r="F86" i="5"/>
  <c r="E86" i="5"/>
  <c r="D86" i="5"/>
  <c r="C86" i="5"/>
  <c r="B86" i="5"/>
  <c r="A86" i="5"/>
  <c r="L85" i="5"/>
  <c r="K85" i="5"/>
  <c r="J85" i="5"/>
  <c r="I85" i="5"/>
  <c r="H85" i="5"/>
  <c r="G85" i="5"/>
  <c r="F85" i="5"/>
  <c r="E85" i="5"/>
  <c r="D85" i="5"/>
  <c r="C85" i="5"/>
  <c r="B85" i="5"/>
  <c r="A85" i="5"/>
  <c r="L84" i="5"/>
  <c r="K84" i="5"/>
  <c r="J84" i="5"/>
  <c r="I84" i="5"/>
  <c r="H84" i="5"/>
  <c r="G84" i="5"/>
  <c r="F84" i="5"/>
  <c r="E84" i="5"/>
  <c r="D84" i="5"/>
  <c r="C84" i="5"/>
  <c r="B84" i="5"/>
  <c r="A84" i="5"/>
  <c r="L83" i="5"/>
  <c r="K83" i="5"/>
  <c r="J83" i="5"/>
  <c r="I83" i="5"/>
  <c r="H83" i="5"/>
  <c r="G83" i="5"/>
  <c r="F83" i="5"/>
  <c r="E83" i="5"/>
  <c r="D83" i="5"/>
  <c r="C83" i="5"/>
  <c r="B83" i="5"/>
  <c r="A83" i="5"/>
  <c r="L82" i="5"/>
  <c r="K82" i="5"/>
  <c r="J82" i="5"/>
  <c r="I82" i="5"/>
  <c r="H82" i="5"/>
  <c r="G82" i="5"/>
  <c r="F82" i="5"/>
  <c r="E82" i="5"/>
  <c r="D82" i="5"/>
  <c r="C82" i="5"/>
  <c r="B82" i="5"/>
  <c r="A82" i="5"/>
  <c r="L81" i="5"/>
  <c r="K81" i="5"/>
  <c r="J81" i="5"/>
  <c r="I81" i="5"/>
  <c r="H81" i="5"/>
  <c r="G81" i="5"/>
  <c r="F81" i="5"/>
  <c r="E81" i="5"/>
  <c r="D81" i="5"/>
  <c r="C81" i="5"/>
  <c r="B81" i="5"/>
  <c r="A81" i="5"/>
  <c r="L80" i="5"/>
  <c r="K80" i="5"/>
  <c r="J80" i="5"/>
  <c r="I80" i="5"/>
  <c r="H80" i="5"/>
  <c r="G80" i="5"/>
  <c r="F80" i="5"/>
  <c r="E80" i="5"/>
  <c r="D80" i="5"/>
  <c r="C80" i="5"/>
  <c r="B80" i="5"/>
  <c r="A80" i="5"/>
  <c r="L79" i="5"/>
  <c r="K79" i="5"/>
  <c r="J79" i="5"/>
  <c r="I79" i="5"/>
  <c r="H79" i="5"/>
  <c r="G79" i="5"/>
  <c r="F79" i="5"/>
  <c r="E79" i="5"/>
  <c r="D79" i="5"/>
  <c r="C79" i="5"/>
  <c r="B79" i="5"/>
  <c r="A79" i="5"/>
  <c r="L78" i="5"/>
  <c r="K78" i="5"/>
  <c r="J78" i="5"/>
  <c r="I78" i="5"/>
  <c r="H78" i="5"/>
  <c r="G78" i="5"/>
  <c r="F78" i="5"/>
  <c r="E78" i="5"/>
  <c r="D78" i="5"/>
  <c r="C78" i="5"/>
  <c r="B78" i="5"/>
  <c r="A78" i="5"/>
  <c r="L77" i="5"/>
  <c r="K77" i="5"/>
  <c r="J77" i="5"/>
  <c r="I77" i="5"/>
  <c r="H77" i="5"/>
  <c r="G77" i="5"/>
  <c r="F77" i="5"/>
  <c r="E77" i="5"/>
  <c r="D77" i="5"/>
  <c r="C77" i="5"/>
  <c r="B77" i="5"/>
  <c r="A77" i="5"/>
  <c r="L76" i="5"/>
  <c r="K76" i="5"/>
  <c r="J76" i="5"/>
  <c r="I76" i="5"/>
  <c r="H76" i="5"/>
  <c r="G76" i="5"/>
  <c r="F76" i="5"/>
  <c r="E76" i="5"/>
  <c r="D76" i="5"/>
  <c r="C76" i="5"/>
  <c r="B76" i="5"/>
  <c r="A76" i="5"/>
  <c r="L75" i="5"/>
  <c r="K75" i="5"/>
  <c r="J75" i="5"/>
  <c r="I75" i="5"/>
  <c r="H75" i="5"/>
  <c r="G75" i="5"/>
  <c r="F75" i="5"/>
  <c r="E75" i="5"/>
  <c r="D75" i="5"/>
  <c r="C75" i="5"/>
  <c r="B75" i="5"/>
  <c r="A75" i="5"/>
  <c r="L74" i="5"/>
  <c r="K74" i="5"/>
  <c r="J74" i="5"/>
  <c r="I74" i="5"/>
  <c r="H74" i="5"/>
  <c r="G74" i="5"/>
  <c r="F74" i="5"/>
  <c r="E74" i="5"/>
  <c r="D74" i="5"/>
  <c r="C74" i="5"/>
  <c r="B74" i="5"/>
  <c r="A74" i="5"/>
  <c r="L73" i="5"/>
  <c r="K73" i="5"/>
  <c r="J73" i="5"/>
  <c r="I73" i="5"/>
  <c r="H73" i="5"/>
  <c r="G73" i="5"/>
  <c r="F73" i="5"/>
  <c r="E73" i="5"/>
  <c r="D73" i="5"/>
  <c r="C73" i="5"/>
  <c r="B73" i="5"/>
  <c r="A73" i="5"/>
  <c r="L72" i="5"/>
  <c r="K72" i="5"/>
  <c r="J72" i="5"/>
  <c r="I72" i="5"/>
  <c r="H72" i="5"/>
  <c r="G72" i="5"/>
  <c r="F72" i="5"/>
  <c r="E72" i="5"/>
  <c r="D72" i="5"/>
  <c r="C72" i="5"/>
  <c r="B72" i="5"/>
  <c r="A72" i="5"/>
  <c r="L71" i="5"/>
  <c r="K71" i="5"/>
  <c r="J71" i="5"/>
  <c r="I71" i="5"/>
  <c r="H71" i="5"/>
  <c r="G71" i="5"/>
  <c r="F71" i="5"/>
  <c r="E71" i="5"/>
  <c r="D71" i="5"/>
  <c r="C71" i="5"/>
  <c r="B71" i="5"/>
  <c r="A71" i="5"/>
  <c r="L70" i="5"/>
  <c r="K70" i="5"/>
  <c r="J70" i="5"/>
  <c r="I70" i="5"/>
  <c r="H70" i="5"/>
  <c r="G70" i="5"/>
  <c r="F70" i="5"/>
  <c r="E70" i="5"/>
  <c r="D70" i="5"/>
  <c r="C70" i="5"/>
  <c r="B70" i="5"/>
  <c r="A70" i="5"/>
  <c r="L69" i="5"/>
  <c r="K69" i="5"/>
  <c r="J69" i="5"/>
  <c r="I69" i="5"/>
  <c r="H69" i="5"/>
  <c r="G69" i="5"/>
  <c r="F69" i="5"/>
  <c r="E69" i="5"/>
  <c r="D69" i="5"/>
  <c r="C69" i="5"/>
  <c r="B69" i="5"/>
  <c r="A69" i="5"/>
  <c r="L68" i="5"/>
  <c r="K68" i="5"/>
  <c r="J68" i="5"/>
  <c r="I68" i="5"/>
  <c r="H68" i="5"/>
  <c r="G68" i="5"/>
  <c r="F68" i="5"/>
  <c r="E68" i="5"/>
  <c r="D68" i="5"/>
  <c r="C68" i="5"/>
  <c r="B68" i="5"/>
  <c r="A68" i="5"/>
  <c r="L67" i="5"/>
  <c r="K67" i="5"/>
  <c r="J67" i="5"/>
  <c r="I67" i="5"/>
  <c r="H67" i="5"/>
  <c r="G67" i="5"/>
  <c r="F67" i="5"/>
  <c r="E67" i="5"/>
  <c r="D67" i="5"/>
  <c r="C67" i="5"/>
  <c r="B67" i="5"/>
  <c r="A67" i="5"/>
  <c r="L66" i="5"/>
  <c r="K66" i="5"/>
  <c r="J66" i="5"/>
  <c r="I66" i="5"/>
  <c r="H66" i="5"/>
  <c r="G66" i="5"/>
  <c r="F66" i="5"/>
  <c r="E66" i="5"/>
  <c r="D66" i="5"/>
  <c r="C66" i="5"/>
  <c r="B66" i="5"/>
  <c r="A66" i="5"/>
  <c r="L65" i="5"/>
  <c r="K65" i="5"/>
  <c r="J65" i="5"/>
  <c r="I65" i="5"/>
  <c r="H65" i="5"/>
  <c r="G65" i="5"/>
  <c r="F65" i="5"/>
  <c r="E65" i="5"/>
  <c r="D65" i="5"/>
  <c r="C65" i="5"/>
  <c r="B65" i="5"/>
  <c r="A65" i="5"/>
  <c r="L64" i="5"/>
  <c r="K64" i="5"/>
  <c r="J64" i="5"/>
  <c r="I64" i="5"/>
  <c r="H64" i="5"/>
  <c r="G64" i="5"/>
  <c r="F64" i="5"/>
  <c r="E64" i="5"/>
  <c r="D64" i="5"/>
  <c r="C64" i="5"/>
  <c r="B64" i="5"/>
  <c r="A64" i="5"/>
  <c r="L63" i="5"/>
  <c r="K63" i="5"/>
  <c r="J63" i="5"/>
  <c r="I63" i="5"/>
  <c r="H63" i="5"/>
  <c r="G63" i="5"/>
  <c r="E63" i="5"/>
  <c r="A63" i="5"/>
  <c r="L62" i="5"/>
  <c r="K62" i="5"/>
  <c r="J62" i="5"/>
  <c r="I62" i="5"/>
  <c r="H62" i="5"/>
  <c r="G62" i="5"/>
  <c r="F62" i="5"/>
  <c r="E62" i="5"/>
  <c r="D62" i="5"/>
  <c r="C62" i="5"/>
  <c r="B62" i="5"/>
  <c r="A62" i="5"/>
  <c r="L61" i="5"/>
  <c r="K61" i="5"/>
  <c r="J61" i="5"/>
  <c r="I61" i="5"/>
  <c r="H61" i="5"/>
  <c r="G61" i="5"/>
  <c r="F61" i="5"/>
  <c r="E61" i="5"/>
  <c r="D61" i="5"/>
  <c r="C61" i="5"/>
  <c r="B61" i="5"/>
  <c r="A61" i="5"/>
  <c r="L60" i="5"/>
  <c r="K60" i="5"/>
  <c r="J60" i="5"/>
  <c r="I60" i="5"/>
  <c r="H60" i="5"/>
  <c r="G60" i="5"/>
  <c r="F60" i="5"/>
  <c r="E60" i="5"/>
  <c r="D60" i="5"/>
  <c r="C60" i="5"/>
  <c r="B60" i="5"/>
  <c r="A60" i="5"/>
  <c r="L59" i="5"/>
  <c r="K59" i="5"/>
  <c r="J59" i="5"/>
  <c r="I59" i="5"/>
  <c r="H59" i="5"/>
  <c r="G59" i="5"/>
  <c r="F59" i="5"/>
  <c r="E59" i="5"/>
  <c r="D59" i="5"/>
  <c r="C59" i="5"/>
  <c r="B59" i="5"/>
  <c r="A59" i="5"/>
  <c r="L58" i="5"/>
  <c r="K58" i="5"/>
  <c r="J58" i="5"/>
  <c r="I58" i="5"/>
  <c r="H58" i="5"/>
  <c r="G58" i="5"/>
  <c r="F58" i="5"/>
  <c r="E58" i="5"/>
  <c r="D58" i="5"/>
  <c r="C58" i="5"/>
  <c r="B58" i="5"/>
  <c r="A58" i="5"/>
  <c r="L57" i="5"/>
  <c r="K57" i="5"/>
  <c r="J57" i="5"/>
  <c r="I57" i="5"/>
  <c r="H57" i="5"/>
  <c r="G57" i="5"/>
  <c r="F57" i="5"/>
  <c r="E57" i="5"/>
  <c r="D57" i="5"/>
  <c r="C57" i="5"/>
  <c r="B57" i="5"/>
  <c r="A57" i="5"/>
  <c r="L56" i="5"/>
  <c r="K56" i="5"/>
  <c r="J56" i="5"/>
  <c r="I56" i="5"/>
  <c r="H56" i="5"/>
  <c r="G56" i="5"/>
  <c r="F56" i="5"/>
  <c r="E56" i="5"/>
  <c r="D56" i="5"/>
  <c r="C56" i="5"/>
  <c r="B56" i="5"/>
  <c r="A56" i="5"/>
  <c r="L55" i="5"/>
  <c r="K55" i="5"/>
  <c r="J55" i="5"/>
  <c r="I55" i="5"/>
  <c r="H55" i="5"/>
  <c r="G55" i="5"/>
  <c r="F55" i="5"/>
  <c r="E55" i="5"/>
  <c r="D55" i="5"/>
  <c r="C55" i="5"/>
  <c r="B55" i="5"/>
  <c r="A55" i="5"/>
  <c r="L54" i="5"/>
  <c r="K54" i="5"/>
  <c r="J54" i="5"/>
  <c r="I54" i="5"/>
  <c r="H54" i="5"/>
  <c r="G54" i="5"/>
  <c r="F54" i="5"/>
  <c r="E54" i="5"/>
  <c r="D54" i="5"/>
  <c r="C54" i="5"/>
  <c r="B54" i="5"/>
  <c r="A54" i="5"/>
  <c r="L53" i="5"/>
  <c r="K53" i="5"/>
  <c r="J53" i="5"/>
  <c r="I53" i="5"/>
  <c r="H53" i="5"/>
  <c r="G53" i="5"/>
  <c r="F53" i="5"/>
  <c r="E53" i="5"/>
  <c r="D53" i="5"/>
  <c r="C53" i="5"/>
  <c r="B53" i="5"/>
  <c r="A53" i="5"/>
  <c r="L52" i="5"/>
  <c r="K52" i="5"/>
  <c r="J52" i="5"/>
  <c r="I52" i="5"/>
  <c r="H52" i="5"/>
  <c r="G52" i="5"/>
  <c r="F52" i="5"/>
  <c r="E52" i="5"/>
  <c r="D52" i="5"/>
  <c r="C52" i="5"/>
  <c r="B52" i="5"/>
  <c r="A52" i="5"/>
  <c r="L51" i="5"/>
  <c r="K51" i="5"/>
  <c r="J51" i="5"/>
  <c r="I51" i="5"/>
  <c r="H51" i="5"/>
  <c r="G51" i="5"/>
  <c r="F51" i="5"/>
  <c r="E51" i="5"/>
  <c r="D51" i="5"/>
  <c r="C51" i="5"/>
  <c r="B51" i="5"/>
  <c r="A51" i="5"/>
  <c r="L50" i="5"/>
  <c r="K50" i="5"/>
  <c r="J50" i="5"/>
  <c r="I50" i="5"/>
  <c r="H50" i="5"/>
  <c r="G50" i="5"/>
  <c r="F50" i="5"/>
  <c r="E50" i="5"/>
  <c r="D50" i="5"/>
  <c r="C50" i="5"/>
  <c r="B50" i="5"/>
  <c r="A50" i="5"/>
  <c r="L49" i="5"/>
  <c r="K49" i="5"/>
  <c r="J49" i="5"/>
  <c r="I49" i="5"/>
  <c r="H49" i="5"/>
  <c r="G49" i="5"/>
  <c r="F49" i="5"/>
  <c r="E49" i="5"/>
  <c r="D49" i="5"/>
  <c r="C49" i="5"/>
  <c r="B49" i="5"/>
  <c r="A49" i="5"/>
  <c r="L48" i="5"/>
  <c r="K48" i="5"/>
  <c r="J48" i="5"/>
  <c r="I48" i="5"/>
  <c r="H48" i="5"/>
  <c r="G48" i="5"/>
  <c r="F48" i="5"/>
  <c r="E48" i="5"/>
  <c r="D48" i="5"/>
  <c r="C48" i="5"/>
  <c r="B48" i="5"/>
  <c r="A48" i="5"/>
  <c r="L47" i="5"/>
  <c r="K47" i="5"/>
  <c r="J47" i="5"/>
  <c r="I47" i="5"/>
  <c r="H47" i="5"/>
  <c r="G47" i="5"/>
  <c r="F47" i="5"/>
  <c r="E47" i="5"/>
  <c r="D47" i="5"/>
  <c r="C47" i="5"/>
  <c r="B47" i="5"/>
  <c r="A47" i="5"/>
  <c r="L46" i="5"/>
  <c r="K46" i="5"/>
  <c r="J46" i="5"/>
  <c r="I46" i="5"/>
  <c r="H46" i="5"/>
  <c r="G46" i="5"/>
  <c r="F46" i="5"/>
  <c r="E46" i="5"/>
  <c r="D46" i="5"/>
  <c r="C46" i="5"/>
  <c r="B46" i="5"/>
  <c r="A46" i="5"/>
  <c r="L45" i="5"/>
  <c r="K45" i="5"/>
  <c r="J45" i="5"/>
  <c r="I45" i="5"/>
  <c r="H45" i="5"/>
  <c r="G45" i="5"/>
  <c r="F45" i="5"/>
  <c r="E45" i="5"/>
  <c r="D45" i="5"/>
  <c r="C45" i="5"/>
  <c r="B45" i="5"/>
  <c r="A45" i="5"/>
  <c r="L44" i="5"/>
  <c r="K44" i="5"/>
  <c r="J44" i="5"/>
  <c r="I44" i="5"/>
  <c r="H44" i="5"/>
  <c r="G44" i="5"/>
  <c r="F44" i="5"/>
  <c r="E44" i="5"/>
  <c r="D44" i="5"/>
  <c r="C44" i="5"/>
  <c r="B44" i="5"/>
  <c r="A44" i="5"/>
  <c r="L43" i="5"/>
  <c r="K43" i="5"/>
  <c r="J43" i="5"/>
  <c r="I43" i="5"/>
  <c r="H43" i="5"/>
  <c r="G43" i="5"/>
  <c r="F43" i="5"/>
  <c r="E43" i="5"/>
  <c r="D43" i="5"/>
  <c r="C43" i="5"/>
  <c r="B43" i="5"/>
  <c r="A43" i="5"/>
  <c r="L42" i="5"/>
  <c r="K42" i="5"/>
  <c r="J42" i="5"/>
  <c r="I42" i="5"/>
  <c r="H42" i="5"/>
  <c r="G42" i="5"/>
  <c r="F42" i="5"/>
  <c r="E42" i="5"/>
  <c r="D42" i="5"/>
  <c r="C42" i="5"/>
  <c r="B42" i="5"/>
  <c r="A42" i="5"/>
  <c r="L41" i="5"/>
  <c r="K41" i="5"/>
  <c r="J41" i="5"/>
  <c r="I41" i="5"/>
  <c r="H41" i="5"/>
  <c r="G41" i="5"/>
  <c r="F41" i="5"/>
  <c r="E41" i="5"/>
  <c r="D41" i="5"/>
  <c r="C41" i="5"/>
  <c r="B41" i="5"/>
  <c r="A41" i="5"/>
  <c r="L40" i="5"/>
  <c r="K40" i="5"/>
  <c r="J40" i="5"/>
  <c r="I40" i="5"/>
  <c r="H40" i="5"/>
  <c r="G40" i="5"/>
  <c r="F40" i="5"/>
  <c r="E40" i="5"/>
  <c r="D40" i="5"/>
  <c r="C40" i="5"/>
  <c r="B40" i="5"/>
  <c r="A40" i="5"/>
  <c r="L39" i="5"/>
  <c r="K39" i="5"/>
  <c r="J39" i="5"/>
  <c r="I39" i="5"/>
  <c r="H39" i="5"/>
  <c r="G39" i="5"/>
  <c r="F39" i="5"/>
  <c r="E39" i="5"/>
  <c r="D39" i="5"/>
  <c r="C39" i="5"/>
  <c r="B39" i="5"/>
  <c r="A39" i="5"/>
  <c r="L38" i="5"/>
  <c r="K38" i="5"/>
  <c r="J38" i="5"/>
  <c r="I38" i="5"/>
  <c r="H38" i="5"/>
  <c r="G38" i="5"/>
  <c r="F38" i="5"/>
  <c r="E38" i="5"/>
  <c r="D38" i="5"/>
  <c r="C38" i="5"/>
  <c r="B38" i="5"/>
  <c r="A38" i="5"/>
  <c r="L37" i="5"/>
  <c r="K37" i="5"/>
  <c r="J37" i="5"/>
  <c r="I37" i="5"/>
  <c r="H37" i="5"/>
  <c r="G37" i="5"/>
  <c r="F37" i="5"/>
  <c r="E37" i="5"/>
  <c r="D37" i="5"/>
  <c r="C37" i="5"/>
  <c r="B37" i="5"/>
  <c r="A37" i="5"/>
  <c r="L36" i="5"/>
  <c r="K36" i="5"/>
  <c r="J36" i="5"/>
  <c r="I36" i="5"/>
  <c r="H36" i="5"/>
  <c r="G36" i="5"/>
  <c r="F36" i="5"/>
  <c r="E36" i="5"/>
  <c r="D36" i="5"/>
  <c r="C36" i="5"/>
  <c r="B36" i="5"/>
  <c r="A36" i="5"/>
  <c r="L35" i="5"/>
  <c r="K35" i="5"/>
  <c r="J35" i="5"/>
  <c r="I35" i="5"/>
  <c r="H35" i="5"/>
  <c r="G35" i="5"/>
  <c r="F35" i="5"/>
  <c r="E35" i="5"/>
  <c r="D35" i="5"/>
  <c r="C35" i="5"/>
  <c r="B35" i="5"/>
  <c r="A35" i="5"/>
  <c r="L34" i="5"/>
  <c r="K34" i="5"/>
  <c r="J34" i="5"/>
  <c r="I34" i="5"/>
  <c r="H34" i="5"/>
  <c r="G34" i="5"/>
  <c r="F34" i="5"/>
  <c r="E34" i="5"/>
  <c r="D34" i="5"/>
  <c r="C34" i="5"/>
  <c r="B34" i="5"/>
  <c r="A34" i="5"/>
  <c r="L33" i="5"/>
  <c r="K33" i="5"/>
  <c r="J33" i="5"/>
  <c r="I33" i="5"/>
  <c r="H33" i="5"/>
  <c r="G33" i="5"/>
  <c r="F33" i="5"/>
  <c r="E33" i="5"/>
  <c r="D33" i="5"/>
  <c r="C33" i="5"/>
  <c r="B33" i="5"/>
  <c r="A33" i="5"/>
  <c r="L32" i="5"/>
  <c r="K32" i="5"/>
  <c r="J32" i="5"/>
  <c r="I32" i="5"/>
  <c r="H32" i="5"/>
  <c r="G32" i="5"/>
  <c r="F32" i="5"/>
  <c r="E32" i="5"/>
  <c r="D32" i="5"/>
  <c r="C32" i="5"/>
  <c r="B32" i="5"/>
  <c r="A32" i="5"/>
  <c r="L31" i="5"/>
  <c r="K31" i="5"/>
  <c r="J31" i="5"/>
  <c r="I31" i="5"/>
  <c r="H31" i="5"/>
  <c r="G31" i="5"/>
  <c r="F31" i="5"/>
  <c r="E31" i="5"/>
  <c r="D31" i="5"/>
  <c r="C31" i="5"/>
  <c r="B31" i="5"/>
  <c r="A31" i="5"/>
  <c r="L30" i="5"/>
  <c r="K30" i="5"/>
  <c r="J30" i="5"/>
  <c r="I30" i="5"/>
  <c r="H30" i="5"/>
  <c r="G30" i="5"/>
  <c r="F30" i="5"/>
  <c r="E30" i="5"/>
  <c r="D30" i="5"/>
  <c r="C30" i="5"/>
  <c r="B30" i="5"/>
  <c r="A30" i="5"/>
  <c r="L29" i="5"/>
  <c r="K29" i="5"/>
  <c r="J29" i="5"/>
  <c r="I29" i="5"/>
  <c r="H29" i="5"/>
  <c r="G29" i="5"/>
  <c r="F29" i="5"/>
  <c r="E29" i="5"/>
  <c r="D29" i="5"/>
  <c r="C29" i="5"/>
  <c r="B29" i="5"/>
  <c r="A29" i="5"/>
  <c r="L28" i="5"/>
  <c r="K28" i="5"/>
  <c r="J28" i="5"/>
  <c r="I28" i="5"/>
  <c r="H28" i="5"/>
  <c r="G28" i="5"/>
  <c r="E28" i="5"/>
  <c r="D28" i="5"/>
  <c r="C28" i="5"/>
  <c r="B28" i="5"/>
  <c r="A28" i="5"/>
  <c r="L27" i="5"/>
  <c r="K27" i="5"/>
  <c r="J27" i="5"/>
  <c r="I27" i="5"/>
  <c r="H27" i="5"/>
  <c r="G27" i="5"/>
  <c r="F27" i="5"/>
  <c r="E27" i="5"/>
  <c r="D27" i="5"/>
  <c r="C27" i="5"/>
  <c r="B27" i="5"/>
  <c r="A27" i="5"/>
  <c r="L26" i="5"/>
  <c r="K26" i="5"/>
  <c r="J26" i="5"/>
  <c r="I26" i="5"/>
  <c r="H26" i="5"/>
  <c r="G26" i="5"/>
  <c r="F26" i="5"/>
  <c r="E26" i="5"/>
  <c r="D26" i="5"/>
  <c r="C26" i="5"/>
  <c r="B26" i="5"/>
  <c r="A26" i="5"/>
  <c r="L25" i="5"/>
  <c r="K25" i="5"/>
  <c r="J25" i="5"/>
  <c r="I25" i="5"/>
  <c r="H25" i="5"/>
  <c r="G25" i="5"/>
  <c r="F25" i="5"/>
  <c r="E25" i="5"/>
  <c r="D25" i="5"/>
  <c r="C25" i="5"/>
  <c r="B25" i="5"/>
  <c r="A25" i="5"/>
  <c r="L24" i="5"/>
  <c r="K24" i="5"/>
  <c r="J24" i="5"/>
  <c r="I24" i="5"/>
  <c r="H24" i="5"/>
  <c r="G24" i="5"/>
  <c r="F24" i="5"/>
  <c r="E24" i="5"/>
  <c r="D24" i="5"/>
  <c r="C24" i="5"/>
  <c r="B24" i="5"/>
  <c r="A24" i="5"/>
  <c r="L23" i="5"/>
  <c r="K23" i="5"/>
  <c r="J23" i="5"/>
  <c r="I23" i="5"/>
  <c r="H23" i="5"/>
  <c r="G23" i="5"/>
  <c r="F23" i="5"/>
  <c r="E23" i="5"/>
  <c r="D23" i="5"/>
  <c r="C23" i="5"/>
  <c r="B23" i="5"/>
  <c r="A23" i="5"/>
  <c r="L22" i="5"/>
  <c r="K22" i="5"/>
  <c r="J22" i="5"/>
  <c r="I22" i="5"/>
  <c r="H22" i="5"/>
  <c r="G22" i="5"/>
  <c r="F22" i="5"/>
  <c r="E22" i="5"/>
  <c r="D22" i="5"/>
  <c r="C22" i="5"/>
  <c r="B22" i="5"/>
  <c r="A22" i="5"/>
  <c r="L21" i="5"/>
  <c r="K21" i="5"/>
  <c r="J21" i="5"/>
  <c r="I21" i="5"/>
  <c r="H21" i="5"/>
  <c r="G21" i="5"/>
  <c r="F21" i="5"/>
  <c r="E21" i="5"/>
  <c r="D21" i="5"/>
  <c r="C21" i="5"/>
  <c r="B21" i="5"/>
  <c r="A21" i="5"/>
  <c r="L20" i="5"/>
  <c r="K20" i="5"/>
  <c r="J20" i="5"/>
  <c r="I20" i="5"/>
  <c r="H20" i="5"/>
  <c r="G20" i="5"/>
  <c r="F20" i="5"/>
  <c r="E20" i="5"/>
  <c r="D20" i="5"/>
  <c r="C20" i="5"/>
  <c r="B20" i="5"/>
  <c r="A20" i="5"/>
  <c r="L19" i="5"/>
  <c r="K19" i="5"/>
  <c r="J19" i="5"/>
  <c r="I19" i="5"/>
  <c r="H19" i="5"/>
  <c r="G19" i="5"/>
  <c r="F19" i="5"/>
  <c r="E19" i="5"/>
  <c r="D19" i="5"/>
  <c r="C19" i="5"/>
  <c r="B19" i="5"/>
  <c r="A19" i="5"/>
  <c r="L18" i="5"/>
  <c r="K18" i="5"/>
  <c r="J18" i="5"/>
  <c r="I18" i="5"/>
  <c r="H18" i="5"/>
  <c r="G18" i="5"/>
  <c r="F18" i="5"/>
  <c r="E18" i="5"/>
  <c r="D18" i="5"/>
  <c r="C18" i="5"/>
  <c r="B18" i="5"/>
  <c r="A18" i="5"/>
  <c r="L17" i="5"/>
  <c r="K17" i="5"/>
  <c r="J17" i="5"/>
  <c r="I17" i="5"/>
  <c r="H17" i="5"/>
  <c r="G17" i="5"/>
  <c r="F17" i="5"/>
  <c r="E17" i="5"/>
  <c r="D17" i="5"/>
  <c r="C17" i="5"/>
  <c r="B17" i="5"/>
  <c r="A17" i="5"/>
  <c r="L16" i="5"/>
  <c r="K16" i="5"/>
  <c r="J16" i="5"/>
  <c r="I16" i="5"/>
  <c r="H16" i="5"/>
  <c r="G16" i="5"/>
  <c r="F16" i="5"/>
  <c r="E16" i="5"/>
  <c r="D16" i="5"/>
  <c r="C16" i="5"/>
  <c r="B16" i="5"/>
  <c r="A16" i="5"/>
  <c r="L15" i="5"/>
  <c r="K15" i="5"/>
  <c r="J15" i="5"/>
  <c r="I15" i="5"/>
  <c r="H15" i="5"/>
  <c r="G15" i="5"/>
  <c r="F15" i="5"/>
  <c r="E15" i="5"/>
  <c r="D15" i="5"/>
  <c r="C15" i="5"/>
  <c r="B15" i="5"/>
  <c r="A15" i="5"/>
  <c r="L14" i="5"/>
  <c r="K14" i="5"/>
  <c r="J14" i="5"/>
  <c r="I14" i="5"/>
  <c r="H14" i="5"/>
  <c r="G14" i="5"/>
  <c r="F14" i="5"/>
  <c r="E14" i="5"/>
  <c r="D14" i="5"/>
  <c r="C14" i="5"/>
  <c r="B14" i="5"/>
  <c r="A14" i="5"/>
  <c r="L13" i="5"/>
  <c r="K13" i="5"/>
  <c r="J13" i="5"/>
  <c r="I13" i="5"/>
  <c r="H13" i="5"/>
  <c r="G13" i="5"/>
  <c r="F13" i="5"/>
  <c r="E13" i="5"/>
  <c r="D13" i="5"/>
  <c r="C13" i="5"/>
  <c r="B13" i="5"/>
  <c r="A13" i="5"/>
  <c r="L12" i="5"/>
  <c r="K12" i="5"/>
  <c r="J12" i="5"/>
  <c r="I12" i="5"/>
  <c r="H12" i="5"/>
  <c r="G12" i="5"/>
  <c r="F12" i="5"/>
  <c r="E12" i="5"/>
  <c r="D12" i="5"/>
  <c r="C12" i="5"/>
  <c r="B12" i="5"/>
  <c r="A12" i="5"/>
  <c r="L11" i="5"/>
  <c r="K11" i="5"/>
  <c r="J11" i="5"/>
  <c r="I11" i="5"/>
  <c r="H11" i="5"/>
  <c r="G11" i="5"/>
  <c r="F11" i="5"/>
  <c r="E11" i="5"/>
  <c r="D11" i="5"/>
  <c r="C11" i="5"/>
  <c r="B11" i="5"/>
  <c r="A11" i="5"/>
  <c r="L10" i="5"/>
  <c r="K10" i="5"/>
  <c r="J10" i="5"/>
  <c r="I10" i="5"/>
  <c r="H10" i="5"/>
  <c r="G10" i="5"/>
  <c r="F10" i="5"/>
  <c r="E10" i="5"/>
  <c r="D10" i="5"/>
  <c r="C10" i="5"/>
  <c r="B10" i="5"/>
  <c r="A10" i="5"/>
  <c r="L9" i="5"/>
  <c r="K9" i="5"/>
  <c r="J9" i="5"/>
  <c r="I9" i="5"/>
  <c r="H9" i="5"/>
  <c r="G9" i="5"/>
  <c r="F9" i="5"/>
  <c r="E9" i="5"/>
  <c r="D9" i="5"/>
  <c r="C9" i="5"/>
  <c r="B9" i="5"/>
  <c r="A9" i="5"/>
  <c r="L8" i="5"/>
  <c r="K8" i="5"/>
  <c r="J8" i="5"/>
  <c r="I8" i="5"/>
  <c r="H8" i="5"/>
  <c r="G8" i="5"/>
  <c r="F8" i="5"/>
  <c r="E8" i="5"/>
  <c r="D8" i="5"/>
  <c r="C8" i="5"/>
  <c r="B8" i="5"/>
  <c r="A8" i="5"/>
  <c r="L7" i="5"/>
  <c r="K7" i="5"/>
  <c r="J7" i="5"/>
  <c r="I7" i="5"/>
  <c r="H7" i="5"/>
  <c r="G7" i="5"/>
  <c r="F7" i="5"/>
  <c r="E7" i="5"/>
  <c r="D7" i="5"/>
  <c r="C7" i="5"/>
  <c r="B7" i="5"/>
  <c r="A7" i="5"/>
  <c r="L6" i="5"/>
  <c r="K6" i="5"/>
  <c r="J6" i="5"/>
  <c r="I6" i="5"/>
  <c r="H6" i="5"/>
  <c r="G6" i="5"/>
  <c r="F6" i="5"/>
  <c r="E6" i="5"/>
  <c r="D6" i="5"/>
  <c r="C6" i="5"/>
  <c r="B6" i="5"/>
  <c r="A6" i="5"/>
  <c r="L5" i="5"/>
  <c r="K5" i="5"/>
  <c r="J5" i="5"/>
  <c r="I5" i="5"/>
  <c r="H5" i="5"/>
  <c r="G5" i="5"/>
  <c r="F5" i="5"/>
  <c r="E5" i="5"/>
  <c r="D5" i="5"/>
  <c r="C5" i="5"/>
  <c r="B5" i="5"/>
  <c r="A5" i="5"/>
  <c r="L4" i="5"/>
  <c r="K4" i="5"/>
  <c r="J4" i="5"/>
  <c r="I4" i="5"/>
  <c r="H4" i="5"/>
  <c r="G4" i="5"/>
  <c r="F4" i="5"/>
  <c r="E4" i="5"/>
  <c r="D4" i="5"/>
  <c r="C4" i="5"/>
  <c r="B4" i="5"/>
  <c r="A4" i="5"/>
  <c r="L3" i="5"/>
  <c r="K3" i="5"/>
  <c r="J3" i="5"/>
  <c r="I3" i="5"/>
  <c r="H3" i="5"/>
  <c r="G3" i="5"/>
  <c r="F3" i="5"/>
  <c r="E3" i="5"/>
  <c r="D3" i="5"/>
  <c r="C3" i="5"/>
  <c r="B3" i="5"/>
  <c r="A3" i="5"/>
  <c r="L2" i="5"/>
  <c r="K2" i="5"/>
  <c r="J2" i="5"/>
  <c r="I2" i="5"/>
  <c r="H2" i="5"/>
  <c r="G2" i="5"/>
  <c r="F2" i="5"/>
  <c r="E2" i="5"/>
  <c r="D2" i="5"/>
  <c r="C2" i="5"/>
  <c r="B2" i="5"/>
  <c r="A2" i="5"/>
  <c r="L1" i="5"/>
  <c r="K1" i="5"/>
  <c r="J1" i="5"/>
  <c r="I1" i="5"/>
  <c r="H1" i="5"/>
  <c r="G1" i="5"/>
  <c r="F1" i="5"/>
  <c r="E1" i="5"/>
  <c r="D1" i="5"/>
  <c r="C1" i="5"/>
  <c r="B1" i="5"/>
  <c r="A1" i="5"/>
  <c r="R68" i="4"/>
  <c r="L68" i="4"/>
  <c r="F63" i="5" s="1"/>
  <c r="J68" i="4"/>
  <c r="H68" i="4"/>
  <c r="D63" i="5" s="1"/>
  <c r="F68" i="4"/>
  <c r="C63" i="5" s="1"/>
  <c r="D68" i="4"/>
  <c r="B63" i="5" s="1"/>
  <c r="R67" i="4"/>
  <c r="L67" i="4"/>
  <c r="J67" i="4"/>
  <c r="H67" i="4"/>
  <c r="F67" i="4"/>
  <c r="D67" i="4"/>
  <c r="R66" i="4"/>
  <c r="L66" i="4"/>
  <c r="J66" i="4"/>
  <c r="H66" i="4"/>
  <c r="F66" i="4"/>
  <c r="D66" i="4"/>
  <c r="R65" i="4"/>
  <c r="L65" i="4"/>
  <c r="J65" i="4"/>
  <c r="H65" i="4"/>
  <c r="F65" i="4"/>
  <c r="D65" i="4"/>
  <c r="R64" i="4"/>
  <c r="L64" i="4"/>
  <c r="J64" i="4"/>
  <c r="H64" i="4"/>
  <c r="F64" i="4"/>
  <c r="D64" i="4"/>
  <c r="R63" i="4"/>
  <c r="L63" i="4"/>
  <c r="J63" i="4"/>
  <c r="H63" i="4"/>
  <c r="F63" i="4"/>
  <c r="D63" i="4"/>
  <c r="R62" i="4"/>
  <c r="L62" i="4"/>
  <c r="J62" i="4"/>
  <c r="H62" i="4"/>
  <c r="F62" i="4"/>
  <c r="D62" i="4"/>
  <c r="R61" i="4"/>
  <c r="L61" i="4"/>
  <c r="J61" i="4"/>
  <c r="H61" i="4"/>
  <c r="F61" i="4"/>
  <c r="D61" i="4"/>
  <c r="R60" i="4"/>
  <c r="L60" i="4"/>
  <c r="J60" i="4"/>
  <c r="H60" i="4"/>
  <c r="F60" i="4"/>
  <c r="D60" i="4"/>
  <c r="R59" i="4"/>
  <c r="L59" i="4"/>
  <c r="J59" i="4"/>
  <c r="H59" i="4"/>
  <c r="F59" i="4"/>
  <c r="D59" i="4"/>
  <c r="R58" i="4"/>
  <c r="L58" i="4"/>
  <c r="J58" i="4"/>
  <c r="H58" i="4"/>
  <c r="F58" i="4"/>
  <c r="D58" i="4"/>
  <c r="R57" i="4"/>
  <c r="L57" i="4"/>
  <c r="J57" i="4"/>
  <c r="H57" i="4"/>
  <c r="F57" i="4"/>
  <c r="D57" i="4"/>
  <c r="R56" i="4"/>
  <c r="L56" i="4"/>
  <c r="J56" i="4"/>
  <c r="H56" i="4"/>
  <c r="F56" i="4"/>
  <c r="D56" i="4"/>
  <c r="R55" i="4"/>
  <c r="L55" i="4"/>
  <c r="J55" i="4"/>
  <c r="H55" i="4"/>
  <c r="F55" i="4"/>
  <c r="D55" i="4"/>
  <c r="R54" i="4"/>
  <c r="L54" i="4"/>
  <c r="J54" i="4"/>
  <c r="H54" i="4"/>
  <c r="F54" i="4"/>
  <c r="D54" i="4"/>
  <c r="R53" i="4"/>
  <c r="L53" i="4"/>
  <c r="J53" i="4"/>
  <c r="H53" i="4"/>
  <c r="F53" i="4"/>
  <c r="D53" i="4"/>
  <c r="R52" i="4"/>
  <c r="L52" i="4"/>
  <c r="J52" i="4"/>
  <c r="H52" i="4"/>
  <c r="F52" i="4"/>
  <c r="D52" i="4"/>
  <c r="R51" i="4"/>
  <c r="L51" i="4"/>
  <c r="J51" i="4"/>
  <c r="H51" i="4"/>
  <c r="F51" i="4"/>
  <c r="D51" i="4"/>
  <c r="R50" i="4"/>
  <c r="L50" i="4"/>
  <c r="J50" i="4"/>
  <c r="H50" i="4"/>
  <c r="F50" i="4"/>
  <c r="D50" i="4"/>
  <c r="R49" i="4"/>
  <c r="L49" i="4"/>
  <c r="J49" i="4"/>
  <c r="H49" i="4"/>
  <c r="F49" i="4"/>
  <c r="D49" i="4"/>
  <c r="R48" i="4"/>
  <c r="L48" i="4"/>
  <c r="J48" i="4"/>
  <c r="H48" i="4"/>
  <c r="F48" i="4"/>
  <c r="D48" i="4"/>
  <c r="R47" i="4"/>
  <c r="L47" i="4"/>
  <c r="J47" i="4"/>
  <c r="H47" i="4"/>
  <c r="F47" i="4"/>
  <c r="D47" i="4"/>
  <c r="R46" i="4"/>
  <c r="L46" i="4"/>
  <c r="J46" i="4"/>
  <c r="H46" i="4"/>
  <c r="F46" i="4"/>
  <c r="D46" i="4"/>
  <c r="R45" i="4"/>
  <c r="L45" i="4"/>
  <c r="J45" i="4"/>
  <c r="H45" i="4"/>
  <c r="F45" i="4"/>
  <c r="D45" i="4"/>
  <c r="R44" i="4"/>
  <c r="L44" i="4"/>
  <c r="J44" i="4"/>
  <c r="H44" i="4"/>
  <c r="F44" i="4"/>
  <c r="D44" i="4"/>
  <c r="R43" i="4"/>
  <c r="L43" i="4"/>
  <c r="J43" i="4"/>
  <c r="H43" i="4"/>
  <c r="F43" i="4"/>
  <c r="D43" i="4"/>
  <c r="R42" i="4"/>
  <c r="L42" i="4"/>
  <c r="J42" i="4"/>
  <c r="H42" i="4"/>
  <c r="F42" i="4"/>
  <c r="D42" i="4"/>
  <c r="R41" i="4"/>
  <c r="L41" i="4"/>
  <c r="J41" i="4"/>
  <c r="H41" i="4"/>
  <c r="F41" i="4"/>
  <c r="D41" i="4"/>
  <c r="R40" i="4"/>
  <c r="L40" i="4"/>
  <c r="J40" i="4"/>
  <c r="H40" i="4"/>
  <c r="F40" i="4"/>
  <c r="D40" i="4"/>
  <c r="R39" i="4"/>
  <c r="L39" i="4"/>
  <c r="J39" i="4"/>
  <c r="H39" i="4"/>
  <c r="F39" i="4"/>
  <c r="D39" i="4"/>
  <c r="R38" i="4"/>
  <c r="L38" i="4"/>
  <c r="J38" i="4"/>
  <c r="H38" i="4"/>
  <c r="F38" i="4"/>
  <c r="D38" i="4"/>
  <c r="R37" i="4"/>
  <c r="L37" i="4"/>
  <c r="J37" i="4"/>
  <c r="H37" i="4"/>
  <c r="F37" i="4"/>
  <c r="D37" i="4"/>
  <c r="R36" i="4"/>
  <c r="L36" i="4"/>
  <c r="J36" i="4"/>
  <c r="H36" i="4"/>
  <c r="F36" i="4"/>
  <c r="D36" i="4"/>
  <c r="R35" i="4"/>
  <c r="L35" i="4"/>
  <c r="J35" i="4"/>
  <c r="H35" i="4"/>
  <c r="F35" i="4"/>
  <c r="D35" i="4"/>
  <c r="R34" i="4"/>
  <c r="L34" i="4"/>
  <c r="J34" i="4"/>
  <c r="H34" i="4"/>
  <c r="F34" i="4"/>
  <c r="D34" i="4"/>
  <c r="R33" i="4"/>
  <c r="J33" i="4"/>
  <c r="H33" i="4"/>
  <c r="F33" i="4"/>
  <c r="D33" i="4"/>
  <c r="R32" i="4"/>
  <c r="J32" i="4"/>
  <c r="H32" i="4"/>
  <c r="F32" i="4"/>
  <c r="D32" i="4"/>
  <c r="R31" i="4"/>
  <c r="L31" i="4"/>
  <c r="J31" i="4"/>
  <c r="H31" i="4"/>
  <c r="F31" i="4"/>
  <c r="D31" i="4"/>
  <c r="R30" i="4"/>
  <c r="L30" i="4"/>
  <c r="J30" i="4"/>
  <c r="H30" i="4"/>
  <c r="F30" i="4"/>
  <c r="D30" i="4"/>
  <c r="R29" i="4"/>
  <c r="L29" i="4"/>
  <c r="J29" i="4"/>
  <c r="H29" i="4"/>
  <c r="F29" i="4"/>
  <c r="D29" i="4"/>
  <c r="R28" i="4"/>
  <c r="L28" i="4"/>
  <c r="J28" i="4"/>
  <c r="H28" i="4"/>
  <c r="F28" i="4"/>
  <c r="D28" i="4"/>
  <c r="R27" i="4"/>
  <c r="L27" i="4"/>
  <c r="J27" i="4"/>
  <c r="H27" i="4"/>
  <c r="F27" i="4"/>
  <c r="D27" i="4"/>
  <c r="R26" i="4"/>
  <c r="L26" i="4"/>
  <c r="J26" i="4"/>
  <c r="H26" i="4"/>
  <c r="F26" i="4"/>
  <c r="D26" i="4"/>
  <c r="R25" i="4"/>
  <c r="L25" i="4"/>
  <c r="J25" i="4"/>
  <c r="H25" i="4"/>
  <c r="F25" i="4"/>
  <c r="D25" i="4"/>
  <c r="R24" i="4"/>
  <c r="L24" i="4"/>
  <c r="J24" i="4"/>
  <c r="H24" i="4"/>
  <c r="F24" i="4"/>
  <c r="D24" i="4"/>
  <c r="R23" i="4"/>
  <c r="L23" i="4"/>
  <c r="J23" i="4"/>
  <c r="H23" i="4"/>
  <c r="F23" i="4"/>
  <c r="D23" i="4"/>
  <c r="R22" i="4"/>
  <c r="L22" i="4"/>
  <c r="J22" i="4"/>
  <c r="H22" i="4"/>
  <c r="F22" i="4"/>
  <c r="D22" i="4"/>
  <c r="R21" i="4"/>
  <c r="L21" i="4"/>
  <c r="J21" i="4"/>
  <c r="H21" i="4"/>
  <c r="F21" i="4"/>
  <c r="D21" i="4"/>
  <c r="R20" i="4"/>
  <c r="L20" i="4"/>
  <c r="J20" i="4"/>
  <c r="H20" i="4"/>
  <c r="F20" i="4"/>
  <c r="D20" i="4"/>
  <c r="R19" i="4"/>
  <c r="L19" i="4"/>
  <c r="J19" i="4"/>
  <c r="H19" i="4"/>
  <c r="F19" i="4"/>
  <c r="D19" i="4"/>
  <c r="R18" i="4"/>
  <c r="L18" i="4"/>
  <c r="J18" i="4"/>
  <c r="H18" i="4"/>
  <c r="F18" i="4"/>
  <c r="D18" i="4"/>
  <c r="R17" i="4"/>
  <c r="L17" i="4"/>
  <c r="J17" i="4"/>
  <c r="H17" i="4"/>
  <c r="F17" i="4"/>
  <c r="D17" i="4"/>
  <c r="R16" i="4"/>
  <c r="L16" i="4"/>
  <c r="J16" i="4"/>
  <c r="H16" i="4"/>
  <c r="F16" i="4"/>
  <c r="D16" i="4"/>
  <c r="R15" i="4"/>
  <c r="L15" i="4"/>
  <c r="J15" i="4"/>
  <c r="H15" i="4"/>
  <c r="F15" i="4"/>
  <c r="D15" i="4"/>
  <c r="R14" i="4"/>
  <c r="L14" i="4"/>
  <c r="J14" i="4"/>
  <c r="H14" i="4"/>
  <c r="F14" i="4"/>
  <c r="D14" i="4"/>
  <c r="R13" i="4"/>
  <c r="L13" i="4"/>
  <c r="J13" i="4"/>
  <c r="H13" i="4"/>
  <c r="F13" i="4"/>
  <c r="D13" i="4"/>
  <c r="R12" i="4"/>
  <c r="L12" i="4"/>
  <c r="J12" i="4"/>
  <c r="H12" i="4"/>
  <c r="F12" i="4"/>
  <c r="D12" i="4"/>
  <c r="R11" i="4"/>
  <c r="L11" i="4"/>
  <c r="J11" i="4"/>
  <c r="H11" i="4"/>
  <c r="F11" i="4"/>
  <c r="D11" i="4"/>
  <c r="R10" i="4"/>
  <c r="L10" i="4"/>
  <c r="J10" i="4"/>
  <c r="H10" i="4"/>
  <c r="F10" i="4"/>
  <c r="D10" i="4"/>
  <c r="R9" i="4"/>
  <c r="L9" i="4"/>
  <c r="J9" i="4"/>
  <c r="H9" i="4"/>
  <c r="F9" i="4"/>
  <c r="D9" i="4"/>
  <c r="R8" i="4"/>
  <c r="L8" i="4"/>
  <c r="J8" i="4"/>
  <c r="H8" i="4"/>
  <c r="F8" i="4"/>
  <c r="D8" i="4"/>
  <c r="R7" i="4"/>
  <c r="L7" i="4"/>
  <c r="J7" i="4"/>
  <c r="H7" i="4"/>
  <c r="F7" i="4"/>
  <c r="D7" i="4"/>
  <c r="R6" i="4"/>
  <c r="L6" i="4"/>
  <c r="J6" i="4"/>
  <c r="H6" i="4"/>
  <c r="F6" i="4"/>
  <c r="D6" i="4"/>
  <c r="A1" i="3" l="1"/>
  <c r="G1" i="3"/>
  <c r="H1" i="3"/>
  <c r="I1" i="3"/>
  <c r="J1" i="3"/>
  <c r="L1" i="3"/>
  <c r="L99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G2" i="3"/>
  <c r="H2" i="3"/>
  <c r="I2" i="3"/>
  <c r="J2" i="3"/>
  <c r="G3" i="3"/>
  <c r="H3" i="3"/>
  <c r="I3" i="3"/>
  <c r="J3" i="3"/>
  <c r="G4" i="3"/>
  <c r="H4" i="3"/>
  <c r="I4" i="3"/>
  <c r="J4" i="3"/>
  <c r="G5" i="3"/>
  <c r="H5" i="3"/>
  <c r="I5" i="3"/>
  <c r="J5" i="3"/>
  <c r="G6" i="3"/>
  <c r="H6" i="3"/>
  <c r="I6" i="3"/>
  <c r="J6" i="3"/>
  <c r="G7" i="3"/>
  <c r="H7" i="3"/>
  <c r="I7" i="3"/>
  <c r="J7" i="3"/>
  <c r="G8" i="3"/>
  <c r="H8" i="3"/>
  <c r="I8" i="3"/>
  <c r="J8" i="3"/>
  <c r="G9" i="3"/>
  <c r="H9" i="3"/>
  <c r="I9" i="3"/>
  <c r="J9" i="3"/>
  <c r="G10" i="3"/>
  <c r="H10" i="3"/>
  <c r="I10" i="3"/>
  <c r="J10" i="3"/>
  <c r="G11" i="3"/>
  <c r="H11" i="3"/>
  <c r="I11" i="3"/>
  <c r="J11" i="3"/>
  <c r="G12" i="3"/>
  <c r="H12" i="3"/>
  <c r="I12" i="3"/>
  <c r="J12" i="3"/>
  <c r="G13" i="3"/>
  <c r="H13" i="3"/>
  <c r="I13" i="3"/>
  <c r="J13" i="3"/>
  <c r="G14" i="3"/>
  <c r="H14" i="3"/>
  <c r="I14" i="3"/>
  <c r="J14" i="3"/>
  <c r="G15" i="3"/>
  <c r="H15" i="3"/>
  <c r="I15" i="3"/>
  <c r="J15" i="3"/>
  <c r="G16" i="3"/>
  <c r="H16" i="3"/>
  <c r="I16" i="3"/>
  <c r="J16" i="3"/>
  <c r="G17" i="3"/>
  <c r="H17" i="3"/>
  <c r="I17" i="3"/>
  <c r="J17" i="3"/>
  <c r="G18" i="3"/>
  <c r="H18" i="3"/>
  <c r="I18" i="3"/>
  <c r="J18" i="3"/>
  <c r="G19" i="3"/>
  <c r="H19" i="3"/>
  <c r="I19" i="3"/>
  <c r="J19" i="3"/>
  <c r="G20" i="3"/>
  <c r="H20" i="3"/>
  <c r="I20" i="3"/>
  <c r="J20" i="3"/>
  <c r="G21" i="3"/>
  <c r="H21" i="3"/>
  <c r="I21" i="3"/>
  <c r="J21" i="3"/>
  <c r="G22" i="3"/>
  <c r="H22" i="3"/>
  <c r="I22" i="3"/>
  <c r="J22" i="3"/>
  <c r="G23" i="3"/>
  <c r="H23" i="3"/>
  <c r="I23" i="3"/>
  <c r="J23" i="3"/>
  <c r="G24" i="3"/>
  <c r="H24" i="3"/>
  <c r="I24" i="3"/>
  <c r="J24" i="3"/>
  <c r="G25" i="3"/>
  <c r="H25" i="3"/>
  <c r="I25" i="3"/>
  <c r="J25" i="3"/>
  <c r="G26" i="3"/>
  <c r="H26" i="3"/>
  <c r="I26" i="3"/>
  <c r="J26" i="3"/>
  <c r="G27" i="3"/>
  <c r="H27" i="3"/>
  <c r="I27" i="3"/>
  <c r="J27" i="3"/>
  <c r="G28" i="3"/>
  <c r="H28" i="3"/>
  <c r="I28" i="3"/>
  <c r="J28" i="3"/>
  <c r="G29" i="3"/>
  <c r="H29" i="3"/>
  <c r="I29" i="3"/>
  <c r="J29" i="3"/>
  <c r="G30" i="3"/>
  <c r="H30" i="3"/>
  <c r="I30" i="3"/>
  <c r="J30" i="3"/>
  <c r="G31" i="3"/>
  <c r="H31" i="3"/>
  <c r="I31" i="3"/>
  <c r="J31" i="3"/>
  <c r="G32" i="3"/>
  <c r="H32" i="3"/>
  <c r="I32" i="3"/>
  <c r="J32" i="3"/>
  <c r="G33" i="3"/>
  <c r="H33" i="3"/>
  <c r="I33" i="3"/>
  <c r="J33" i="3"/>
  <c r="G34" i="3"/>
  <c r="H34" i="3"/>
  <c r="I34" i="3"/>
  <c r="J34" i="3"/>
  <c r="G35" i="3"/>
  <c r="H35" i="3"/>
  <c r="I35" i="3"/>
  <c r="J35" i="3"/>
  <c r="G36" i="3"/>
  <c r="H36" i="3"/>
  <c r="I36" i="3"/>
  <c r="J36" i="3"/>
  <c r="G37" i="3"/>
  <c r="H37" i="3"/>
  <c r="I37" i="3"/>
  <c r="J37" i="3"/>
  <c r="G38" i="3"/>
  <c r="H38" i="3"/>
  <c r="I38" i="3"/>
  <c r="J38" i="3"/>
  <c r="G39" i="3"/>
  <c r="H39" i="3"/>
  <c r="I39" i="3"/>
  <c r="J39" i="3"/>
  <c r="G40" i="3"/>
  <c r="H40" i="3"/>
  <c r="I40" i="3"/>
  <c r="J40" i="3"/>
  <c r="G41" i="3"/>
  <c r="H41" i="3"/>
  <c r="I41" i="3"/>
  <c r="J41" i="3"/>
  <c r="G42" i="3"/>
  <c r="H42" i="3"/>
  <c r="I42" i="3"/>
  <c r="J42" i="3"/>
  <c r="G43" i="3"/>
  <c r="H43" i="3"/>
  <c r="I43" i="3"/>
  <c r="J43" i="3"/>
  <c r="G44" i="3"/>
  <c r="H44" i="3"/>
  <c r="I44" i="3"/>
  <c r="J44" i="3"/>
  <c r="G45" i="3"/>
  <c r="H45" i="3"/>
  <c r="I45" i="3"/>
  <c r="J45" i="3"/>
  <c r="G46" i="3"/>
  <c r="H46" i="3"/>
  <c r="I46" i="3"/>
  <c r="J46" i="3"/>
  <c r="G47" i="3"/>
  <c r="H47" i="3"/>
  <c r="I47" i="3"/>
  <c r="J47" i="3"/>
  <c r="G48" i="3"/>
  <c r="H48" i="3"/>
  <c r="I48" i="3"/>
  <c r="J48" i="3"/>
  <c r="G49" i="3"/>
  <c r="H49" i="3"/>
  <c r="I49" i="3"/>
  <c r="J49" i="3"/>
  <c r="G50" i="3"/>
  <c r="H50" i="3"/>
  <c r="I50" i="3"/>
  <c r="J50" i="3"/>
  <c r="G51" i="3"/>
  <c r="H51" i="3"/>
  <c r="I51" i="3"/>
  <c r="J51" i="3"/>
  <c r="G52" i="3"/>
  <c r="H52" i="3"/>
  <c r="I52" i="3"/>
  <c r="J52" i="3"/>
  <c r="G53" i="3"/>
  <c r="H53" i="3"/>
  <c r="I53" i="3"/>
  <c r="J53" i="3"/>
  <c r="G54" i="3"/>
  <c r="H54" i="3"/>
  <c r="I54" i="3"/>
  <c r="J54" i="3"/>
  <c r="G55" i="3"/>
  <c r="H55" i="3"/>
  <c r="I55" i="3"/>
  <c r="J55" i="3"/>
  <c r="G56" i="3"/>
  <c r="H56" i="3"/>
  <c r="I56" i="3"/>
  <c r="J56" i="3"/>
  <c r="G57" i="3"/>
  <c r="H57" i="3"/>
  <c r="I57" i="3"/>
  <c r="J57" i="3"/>
  <c r="G58" i="3"/>
  <c r="H58" i="3"/>
  <c r="I58" i="3"/>
  <c r="J58" i="3"/>
  <c r="G59" i="3"/>
  <c r="H59" i="3"/>
  <c r="I59" i="3"/>
  <c r="J59" i="3"/>
  <c r="G60" i="3"/>
  <c r="H60" i="3"/>
  <c r="I60" i="3"/>
  <c r="J60" i="3"/>
  <c r="G61" i="3"/>
  <c r="H61" i="3"/>
  <c r="I61" i="3"/>
  <c r="J61" i="3"/>
  <c r="G62" i="3"/>
  <c r="H62" i="3"/>
  <c r="I62" i="3"/>
  <c r="J62" i="3"/>
  <c r="G63" i="3"/>
  <c r="H63" i="3"/>
  <c r="I63" i="3"/>
  <c r="J63" i="3"/>
  <c r="G64" i="3"/>
  <c r="H64" i="3"/>
  <c r="I64" i="3"/>
  <c r="J64" i="3"/>
  <c r="G65" i="3"/>
  <c r="H65" i="3"/>
  <c r="I65" i="3"/>
  <c r="J65" i="3"/>
  <c r="G66" i="3"/>
  <c r="H66" i="3"/>
  <c r="I66" i="3"/>
  <c r="J66" i="3"/>
  <c r="G67" i="3"/>
  <c r="H67" i="3"/>
  <c r="I67" i="3"/>
  <c r="J67" i="3"/>
  <c r="G68" i="3"/>
  <c r="H68" i="3"/>
  <c r="I68" i="3"/>
  <c r="J68" i="3"/>
  <c r="G69" i="3"/>
  <c r="H69" i="3"/>
  <c r="I69" i="3"/>
  <c r="J69" i="3"/>
  <c r="G70" i="3"/>
  <c r="H70" i="3"/>
  <c r="I70" i="3"/>
  <c r="J70" i="3"/>
  <c r="G71" i="3"/>
  <c r="H71" i="3"/>
  <c r="I71" i="3"/>
  <c r="J71" i="3"/>
  <c r="G72" i="3"/>
  <c r="H72" i="3"/>
  <c r="I72" i="3"/>
  <c r="J72" i="3"/>
  <c r="G73" i="3"/>
  <c r="H73" i="3"/>
  <c r="I73" i="3"/>
  <c r="J73" i="3"/>
  <c r="G74" i="3"/>
  <c r="H74" i="3"/>
  <c r="I74" i="3"/>
  <c r="J74" i="3"/>
  <c r="G75" i="3"/>
  <c r="H75" i="3"/>
  <c r="I75" i="3"/>
  <c r="J75" i="3"/>
  <c r="G76" i="3"/>
  <c r="H76" i="3"/>
  <c r="I76" i="3"/>
  <c r="J76" i="3"/>
  <c r="G77" i="3"/>
  <c r="H77" i="3"/>
  <c r="I77" i="3"/>
  <c r="J77" i="3"/>
  <c r="G78" i="3"/>
  <c r="H78" i="3"/>
  <c r="I78" i="3"/>
  <c r="J78" i="3"/>
  <c r="G79" i="3"/>
  <c r="H79" i="3"/>
  <c r="I79" i="3"/>
  <c r="J79" i="3"/>
  <c r="G80" i="3"/>
  <c r="H80" i="3"/>
  <c r="I80" i="3"/>
  <c r="J80" i="3"/>
  <c r="G81" i="3"/>
  <c r="H81" i="3"/>
  <c r="I81" i="3"/>
  <c r="J81" i="3"/>
  <c r="G82" i="3"/>
  <c r="H82" i="3"/>
  <c r="I82" i="3"/>
  <c r="J82" i="3"/>
  <c r="G83" i="3"/>
  <c r="H83" i="3"/>
  <c r="I83" i="3"/>
  <c r="J83" i="3"/>
  <c r="G84" i="3"/>
  <c r="H84" i="3"/>
  <c r="I84" i="3"/>
  <c r="J84" i="3"/>
  <c r="G85" i="3"/>
  <c r="H85" i="3"/>
  <c r="I85" i="3"/>
  <c r="J85" i="3"/>
  <c r="G86" i="3"/>
  <c r="H86" i="3"/>
  <c r="I86" i="3"/>
  <c r="J86" i="3"/>
  <c r="G87" i="3"/>
  <c r="H87" i="3"/>
  <c r="I87" i="3"/>
  <c r="J87" i="3"/>
  <c r="G88" i="3"/>
  <c r="H88" i="3"/>
  <c r="I88" i="3"/>
  <c r="J88" i="3"/>
  <c r="G89" i="3"/>
  <c r="H89" i="3"/>
  <c r="I89" i="3"/>
  <c r="J89" i="3"/>
  <c r="G90" i="3"/>
  <c r="H90" i="3"/>
  <c r="I90" i="3"/>
  <c r="J90" i="3"/>
  <c r="G91" i="3"/>
  <c r="H91" i="3"/>
  <c r="I91" i="3"/>
  <c r="J91" i="3"/>
  <c r="G92" i="3"/>
  <c r="H92" i="3"/>
  <c r="I92" i="3"/>
  <c r="J92" i="3"/>
  <c r="G93" i="3"/>
  <c r="H93" i="3"/>
  <c r="I93" i="3"/>
  <c r="J93" i="3"/>
  <c r="G94" i="3"/>
  <c r="H94" i="3"/>
  <c r="I94" i="3"/>
  <c r="J94" i="3"/>
  <c r="G95" i="3"/>
  <c r="H95" i="3"/>
  <c r="I95" i="3"/>
  <c r="J95" i="3"/>
  <c r="G96" i="3"/>
  <c r="H96" i="3"/>
  <c r="I96" i="3"/>
  <c r="J96" i="3"/>
  <c r="G97" i="3"/>
  <c r="H97" i="3"/>
  <c r="I97" i="3"/>
  <c r="J97" i="3"/>
  <c r="G98" i="3"/>
  <c r="H98" i="3"/>
  <c r="I98" i="3"/>
  <c r="J98" i="3"/>
  <c r="G99" i="3"/>
  <c r="H99" i="3"/>
  <c r="I99" i="3"/>
  <c r="J99" i="3"/>
  <c r="B35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L67" i="1"/>
  <c r="F62" i="3" s="1"/>
  <c r="J67" i="1"/>
  <c r="E62" i="3" s="1"/>
  <c r="H67" i="1"/>
  <c r="D62" i="3" s="1"/>
  <c r="F67" i="1"/>
  <c r="C62" i="3" s="1"/>
  <c r="D67" i="1"/>
  <c r="B62" i="3" s="1"/>
  <c r="L66" i="1"/>
  <c r="F61" i="3" s="1"/>
  <c r="J66" i="1"/>
  <c r="E61" i="3" s="1"/>
  <c r="H66" i="1"/>
  <c r="D61" i="3" s="1"/>
  <c r="F66" i="1"/>
  <c r="C61" i="3" s="1"/>
  <c r="D66" i="1"/>
  <c r="B61" i="3" s="1"/>
  <c r="L65" i="1"/>
  <c r="F60" i="3" s="1"/>
  <c r="J65" i="1"/>
  <c r="E60" i="3" s="1"/>
  <c r="H65" i="1"/>
  <c r="D60" i="3" s="1"/>
  <c r="F65" i="1"/>
  <c r="C60" i="3" s="1"/>
  <c r="D65" i="1"/>
  <c r="B60" i="3" s="1"/>
  <c r="L64" i="1"/>
  <c r="F59" i="3" s="1"/>
  <c r="J64" i="1"/>
  <c r="E59" i="3" s="1"/>
  <c r="H64" i="1"/>
  <c r="D59" i="3" s="1"/>
  <c r="F64" i="1"/>
  <c r="C59" i="3" s="1"/>
  <c r="D64" i="1"/>
  <c r="B59" i="3" s="1"/>
  <c r="L63" i="1"/>
  <c r="F58" i="3" s="1"/>
  <c r="J63" i="1"/>
  <c r="E58" i="3" s="1"/>
  <c r="H63" i="1"/>
  <c r="D58" i="3" s="1"/>
  <c r="F63" i="1"/>
  <c r="C58" i="3" s="1"/>
  <c r="D63" i="1"/>
  <c r="B58" i="3" s="1"/>
  <c r="L62" i="1"/>
  <c r="F57" i="3" s="1"/>
  <c r="J62" i="1"/>
  <c r="E57" i="3" s="1"/>
  <c r="H62" i="1"/>
  <c r="D57" i="3" s="1"/>
  <c r="F62" i="1"/>
  <c r="C57" i="3" s="1"/>
  <c r="D62" i="1"/>
  <c r="B57" i="3" s="1"/>
  <c r="L61" i="1"/>
  <c r="F56" i="3" s="1"/>
  <c r="J61" i="1"/>
  <c r="E56" i="3" s="1"/>
  <c r="H61" i="1"/>
  <c r="D56" i="3" s="1"/>
  <c r="F61" i="1"/>
  <c r="C56" i="3" s="1"/>
  <c r="D61" i="1"/>
  <c r="B56" i="3" s="1"/>
  <c r="L60" i="1"/>
  <c r="F55" i="3" s="1"/>
  <c r="J60" i="1"/>
  <c r="E55" i="3" s="1"/>
  <c r="H60" i="1"/>
  <c r="D55" i="3" s="1"/>
  <c r="F60" i="1"/>
  <c r="C55" i="3" s="1"/>
  <c r="D60" i="1"/>
  <c r="B55" i="3" s="1"/>
  <c r="L59" i="1"/>
  <c r="F54" i="3" s="1"/>
  <c r="J59" i="1"/>
  <c r="E54" i="3" s="1"/>
  <c r="H59" i="1"/>
  <c r="D54" i="3" s="1"/>
  <c r="F59" i="1"/>
  <c r="C54" i="3" s="1"/>
  <c r="D59" i="1"/>
  <c r="B54" i="3" s="1"/>
  <c r="L58" i="1"/>
  <c r="F53" i="3" s="1"/>
  <c r="J58" i="1"/>
  <c r="E53" i="3" s="1"/>
  <c r="H58" i="1"/>
  <c r="D53" i="3" s="1"/>
  <c r="F58" i="1"/>
  <c r="C53" i="3" s="1"/>
  <c r="D58" i="1"/>
  <c r="B53" i="3" s="1"/>
  <c r="L57" i="1"/>
  <c r="F52" i="3" s="1"/>
  <c r="J57" i="1"/>
  <c r="E52" i="3" s="1"/>
  <c r="H57" i="1"/>
  <c r="D52" i="3" s="1"/>
  <c r="F57" i="1"/>
  <c r="C52" i="3" s="1"/>
  <c r="D57" i="1"/>
  <c r="B52" i="3" s="1"/>
  <c r="L56" i="1"/>
  <c r="F51" i="3" s="1"/>
  <c r="J56" i="1"/>
  <c r="E51" i="3" s="1"/>
  <c r="H56" i="1"/>
  <c r="D51" i="3" s="1"/>
  <c r="F56" i="1"/>
  <c r="C51" i="3" s="1"/>
  <c r="D56" i="1"/>
  <c r="B51" i="3" s="1"/>
  <c r="L55" i="1"/>
  <c r="F50" i="3" s="1"/>
  <c r="J55" i="1"/>
  <c r="E50" i="3" s="1"/>
  <c r="H55" i="1"/>
  <c r="D50" i="3" s="1"/>
  <c r="F55" i="1"/>
  <c r="C50" i="3" s="1"/>
  <c r="D55" i="1"/>
  <c r="B50" i="3" s="1"/>
  <c r="L54" i="1"/>
  <c r="F49" i="3" s="1"/>
  <c r="J54" i="1"/>
  <c r="E49" i="3" s="1"/>
  <c r="H54" i="1"/>
  <c r="D49" i="3" s="1"/>
  <c r="F54" i="1"/>
  <c r="C49" i="3" s="1"/>
  <c r="D54" i="1"/>
  <c r="B49" i="3" s="1"/>
  <c r="L53" i="1"/>
  <c r="F48" i="3" s="1"/>
  <c r="J53" i="1"/>
  <c r="E48" i="3" s="1"/>
  <c r="H53" i="1"/>
  <c r="D48" i="3" s="1"/>
  <c r="F53" i="1"/>
  <c r="C48" i="3" s="1"/>
  <c r="D53" i="1"/>
  <c r="B48" i="3" s="1"/>
  <c r="L52" i="1"/>
  <c r="F47" i="3" s="1"/>
  <c r="J52" i="1"/>
  <c r="E47" i="3" s="1"/>
  <c r="H52" i="1"/>
  <c r="D47" i="3" s="1"/>
  <c r="F52" i="1"/>
  <c r="C47" i="3" s="1"/>
  <c r="D52" i="1"/>
  <c r="B47" i="3" s="1"/>
  <c r="L51" i="1"/>
  <c r="F46" i="3" s="1"/>
  <c r="J51" i="1"/>
  <c r="E46" i="3" s="1"/>
  <c r="H51" i="1"/>
  <c r="D46" i="3" s="1"/>
  <c r="F51" i="1"/>
  <c r="C46" i="3" s="1"/>
  <c r="D51" i="1"/>
  <c r="B46" i="3" s="1"/>
  <c r="L48" i="1"/>
  <c r="F43" i="3" s="1"/>
  <c r="J48" i="1"/>
  <c r="E43" i="3" s="1"/>
  <c r="H48" i="1"/>
  <c r="D43" i="3" s="1"/>
  <c r="F48" i="1"/>
  <c r="C43" i="3" s="1"/>
  <c r="D48" i="1"/>
  <c r="B43" i="3" s="1"/>
  <c r="L47" i="1"/>
  <c r="F42" i="3" s="1"/>
  <c r="J47" i="1"/>
  <c r="E42" i="3" s="1"/>
  <c r="H47" i="1"/>
  <c r="D42" i="3" s="1"/>
  <c r="F47" i="1"/>
  <c r="C42" i="3" s="1"/>
  <c r="D47" i="1"/>
  <c r="B42" i="3" s="1"/>
  <c r="L45" i="1"/>
  <c r="F40" i="3" s="1"/>
  <c r="J45" i="1"/>
  <c r="E40" i="3" s="1"/>
  <c r="H45" i="1"/>
  <c r="D40" i="3" s="1"/>
  <c r="F45" i="1"/>
  <c r="C40" i="3" s="1"/>
  <c r="D45" i="1"/>
  <c r="B40" i="3" s="1"/>
  <c r="L44" i="1"/>
  <c r="F39" i="3" s="1"/>
  <c r="J44" i="1"/>
  <c r="E39" i="3" s="1"/>
  <c r="H44" i="1"/>
  <c r="D39" i="3" s="1"/>
  <c r="F44" i="1"/>
  <c r="C39" i="3" s="1"/>
  <c r="D44" i="1"/>
  <c r="B39" i="3" s="1"/>
  <c r="L43" i="1"/>
  <c r="F38" i="3" s="1"/>
  <c r="J43" i="1"/>
  <c r="E38" i="3" s="1"/>
  <c r="H43" i="1"/>
  <c r="D38" i="3" s="1"/>
  <c r="F43" i="1"/>
  <c r="C38" i="3" s="1"/>
  <c r="D43" i="1"/>
  <c r="B38" i="3" s="1"/>
  <c r="L42" i="1"/>
  <c r="F37" i="3" s="1"/>
  <c r="J42" i="1"/>
  <c r="E37" i="3" s="1"/>
  <c r="H42" i="1"/>
  <c r="D37" i="3" s="1"/>
  <c r="F42" i="1"/>
  <c r="C37" i="3" s="1"/>
  <c r="D42" i="1"/>
  <c r="B37" i="3" s="1"/>
  <c r="L39" i="1"/>
  <c r="F34" i="3" s="1"/>
  <c r="J39" i="1"/>
  <c r="E34" i="3" s="1"/>
  <c r="H39" i="1"/>
  <c r="D34" i="3" s="1"/>
  <c r="F39" i="1"/>
  <c r="C34" i="3" s="1"/>
  <c r="D39" i="1"/>
  <c r="B34" i="3" s="1"/>
  <c r="L40" i="1"/>
  <c r="F35" i="3" s="1"/>
  <c r="J40" i="1"/>
  <c r="E35" i="3" s="1"/>
  <c r="H40" i="1"/>
  <c r="D35" i="3" s="1"/>
  <c r="F40" i="1"/>
  <c r="C35" i="3" s="1"/>
  <c r="D40" i="1"/>
  <c r="L38" i="1"/>
  <c r="F33" i="3" s="1"/>
  <c r="J38" i="1"/>
  <c r="E33" i="3" s="1"/>
  <c r="H38" i="1"/>
  <c r="D33" i="3" s="1"/>
  <c r="F38" i="1"/>
  <c r="C33" i="3" s="1"/>
  <c r="D38" i="1"/>
  <c r="B33" i="3" s="1"/>
  <c r="L36" i="1"/>
  <c r="F31" i="3" s="1"/>
  <c r="J36" i="1"/>
  <c r="E31" i="3" s="1"/>
  <c r="H36" i="1"/>
  <c r="D31" i="3" s="1"/>
  <c r="F36" i="1"/>
  <c r="C31" i="3" s="1"/>
  <c r="D36" i="1"/>
  <c r="B31" i="3" s="1"/>
  <c r="L35" i="1"/>
  <c r="F30" i="3" s="1"/>
  <c r="J35" i="1"/>
  <c r="E30" i="3" s="1"/>
  <c r="H35" i="1"/>
  <c r="D30" i="3" s="1"/>
  <c r="F35" i="1"/>
  <c r="C30" i="3" s="1"/>
  <c r="D35" i="1"/>
  <c r="B30" i="3" s="1"/>
  <c r="L33" i="1"/>
  <c r="F28" i="3" s="1"/>
  <c r="J33" i="1"/>
  <c r="E28" i="3" s="1"/>
  <c r="H33" i="1"/>
  <c r="D28" i="3" s="1"/>
  <c r="F33" i="1"/>
  <c r="C28" i="3" s="1"/>
  <c r="D33" i="1"/>
  <c r="B28" i="3" s="1"/>
  <c r="L32" i="1"/>
  <c r="F27" i="3" s="1"/>
  <c r="J32" i="1"/>
  <c r="E27" i="3" s="1"/>
  <c r="H32" i="1"/>
  <c r="D27" i="3" s="1"/>
  <c r="F32" i="1"/>
  <c r="C27" i="3" s="1"/>
  <c r="D32" i="1"/>
  <c r="B27" i="3" s="1"/>
  <c r="L31" i="1"/>
  <c r="F26" i="3" s="1"/>
  <c r="J31" i="1"/>
  <c r="E26" i="3" s="1"/>
  <c r="H31" i="1"/>
  <c r="D26" i="3" s="1"/>
  <c r="F31" i="1"/>
  <c r="C26" i="3" s="1"/>
  <c r="D31" i="1"/>
  <c r="B26" i="3" s="1"/>
  <c r="L30" i="1"/>
  <c r="F25" i="3" s="1"/>
  <c r="J30" i="1"/>
  <c r="E25" i="3" s="1"/>
  <c r="H30" i="1"/>
  <c r="D25" i="3" s="1"/>
  <c r="F30" i="1"/>
  <c r="C25" i="3" s="1"/>
  <c r="D30" i="1"/>
  <c r="B25" i="3" s="1"/>
  <c r="L29" i="1"/>
  <c r="F24" i="3" s="1"/>
  <c r="J29" i="1"/>
  <c r="E24" i="3" s="1"/>
  <c r="H29" i="1"/>
  <c r="D24" i="3" s="1"/>
  <c r="F29" i="1"/>
  <c r="C24" i="3" s="1"/>
  <c r="D29" i="1"/>
  <c r="B24" i="3" s="1"/>
  <c r="L28" i="1"/>
  <c r="F23" i="3" s="1"/>
  <c r="J28" i="1"/>
  <c r="E23" i="3" s="1"/>
  <c r="H28" i="1"/>
  <c r="D23" i="3" s="1"/>
  <c r="F28" i="1"/>
  <c r="C23" i="3" s="1"/>
  <c r="D28" i="1"/>
  <c r="B23" i="3" s="1"/>
  <c r="L27" i="1"/>
  <c r="F22" i="3" s="1"/>
  <c r="J27" i="1"/>
  <c r="E22" i="3" s="1"/>
  <c r="H27" i="1"/>
  <c r="D22" i="3" s="1"/>
  <c r="F27" i="1"/>
  <c r="C22" i="3" s="1"/>
  <c r="D27" i="1"/>
  <c r="B22" i="3" s="1"/>
  <c r="L26" i="1"/>
  <c r="F21" i="3" s="1"/>
  <c r="J26" i="1"/>
  <c r="E21" i="3" s="1"/>
  <c r="H26" i="1"/>
  <c r="D21" i="3" s="1"/>
  <c r="F26" i="1"/>
  <c r="C21" i="3" s="1"/>
  <c r="D26" i="1"/>
  <c r="B21" i="3" s="1"/>
  <c r="L23" i="1"/>
  <c r="F18" i="3" s="1"/>
  <c r="J23" i="1"/>
  <c r="E18" i="3" s="1"/>
  <c r="H23" i="1"/>
  <c r="D18" i="3" s="1"/>
  <c r="F23" i="1"/>
  <c r="C18" i="3" s="1"/>
  <c r="D23" i="1"/>
  <c r="B18" i="3" s="1"/>
  <c r="L22" i="1"/>
  <c r="F17" i="3" s="1"/>
  <c r="J22" i="1"/>
  <c r="E17" i="3" s="1"/>
  <c r="H22" i="1"/>
  <c r="D17" i="3" s="1"/>
  <c r="F22" i="1"/>
  <c r="C17" i="3" s="1"/>
  <c r="D22" i="1"/>
  <c r="B17" i="3" s="1"/>
  <c r="L20" i="1"/>
  <c r="F15" i="3" s="1"/>
  <c r="J20" i="1"/>
  <c r="E15" i="3" s="1"/>
  <c r="H20" i="1"/>
  <c r="D15" i="3" s="1"/>
  <c r="F20" i="1"/>
  <c r="C15" i="3" s="1"/>
  <c r="D20" i="1"/>
  <c r="B15" i="3" s="1"/>
  <c r="L19" i="1"/>
  <c r="F14" i="3" s="1"/>
  <c r="J19" i="1"/>
  <c r="E14" i="3" s="1"/>
  <c r="H19" i="1"/>
  <c r="D14" i="3" s="1"/>
  <c r="F19" i="1"/>
  <c r="C14" i="3" s="1"/>
  <c r="D19" i="1"/>
  <c r="B14" i="3" s="1"/>
  <c r="L17" i="1"/>
  <c r="F12" i="3" s="1"/>
  <c r="J17" i="1"/>
  <c r="E12" i="3" s="1"/>
  <c r="H17" i="1"/>
  <c r="D12" i="3" s="1"/>
  <c r="F17" i="1"/>
  <c r="C12" i="3" s="1"/>
  <c r="D17" i="1"/>
  <c r="B12" i="3" s="1"/>
  <c r="L16" i="1"/>
  <c r="F11" i="3" s="1"/>
  <c r="J16" i="1"/>
  <c r="E11" i="3" s="1"/>
  <c r="H16" i="1"/>
  <c r="D11" i="3" s="1"/>
  <c r="F16" i="1"/>
  <c r="C11" i="3" s="1"/>
  <c r="D16" i="1"/>
  <c r="B11" i="3" s="1"/>
  <c r="L14" i="1"/>
  <c r="F9" i="3" s="1"/>
  <c r="J14" i="1"/>
  <c r="E9" i="3" s="1"/>
  <c r="H14" i="1"/>
  <c r="D9" i="3" s="1"/>
  <c r="F14" i="1"/>
  <c r="C9" i="3" s="1"/>
  <c r="D14" i="1"/>
  <c r="B9" i="3" s="1"/>
  <c r="L13" i="1"/>
  <c r="F8" i="3" s="1"/>
  <c r="J13" i="1"/>
  <c r="E8" i="3" s="1"/>
  <c r="H13" i="1"/>
  <c r="D8" i="3" s="1"/>
  <c r="F13" i="1"/>
  <c r="C8" i="3" s="1"/>
  <c r="D13" i="1"/>
  <c r="B8" i="3" s="1"/>
  <c r="L11" i="1"/>
  <c r="F6" i="3" s="1"/>
  <c r="J11" i="1"/>
  <c r="E6" i="3" s="1"/>
  <c r="H11" i="1"/>
  <c r="D6" i="3" s="1"/>
  <c r="F11" i="1"/>
  <c r="C6" i="3" s="1"/>
  <c r="D11" i="1"/>
  <c r="B6" i="3" s="1"/>
  <c r="L10" i="1"/>
  <c r="F5" i="3" s="1"/>
  <c r="J10" i="1"/>
  <c r="E5" i="3" s="1"/>
  <c r="H10" i="1"/>
  <c r="D5" i="3" s="1"/>
  <c r="F10" i="1"/>
  <c r="C5" i="3" s="1"/>
  <c r="D10" i="1"/>
  <c r="B5" i="3" s="1"/>
  <c r="R7" i="1" l="1"/>
  <c r="K2" i="3" s="1"/>
  <c r="L7" i="1"/>
  <c r="F2" i="3" s="1"/>
  <c r="J7" i="1"/>
  <c r="E2" i="3" s="1"/>
  <c r="H7" i="1"/>
  <c r="D2" i="3" s="1"/>
  <c r="F7" i="1"/>
  <c r="C2" i="3" s="1"/>
  <c r="D7" i="1"/>
  <c r="B2" i="3" s="1"/>
  <c r="R8" i="1"/>
  <c r="K3" i="3" s="1"/>
  <c r="R9" i="1"/>
  <c r="K4" i="3" s="1"/>
  <c r="R10" i="1"/>
  <c r="K5" i="3" s="1"/>
  <c r="R11" i="1"/>
  <c r="K6" i="3" s="1"/>
  <c r="R12" i="1"/>
  <c r="K7" i="3" s="1"/>
  <c r="R13" i="1"/>
  <c r="K8" i="3" s="1"/>
  <c r="R14" i="1"/>
  <c r="K9" i="3" s="1"/>
  <c r="R15" i="1"/>
  <c r="K10" i="3" s="1"/>
  <c r="R16" i="1"/>
  <c r="K11" i="3" s="1"/>
  <c r="R17" i="1"/>
  <c r="K12" i="3" s="1"/>
  <c r="R18" i="1"/>
  <c r="K13" i="3" s="1"/>
  <c r="R19" i="1"/>
  <c r="K14" i="3" s="1"/>
  <c r="R20" i="1"/>
  <c r="K15" i="3" s="1"/>
  <c r="R21" i="1"/>
  <c r="K16" i="3" s="1"/>
  <c r="R22" i="1"/>
  <c r="K17" i="3" s="1"/>
  <c r="R23" i="1"/>
  <c r="K18" i="3" s="1"/>
  <c r="R24" i="1"/>
  <c r="K19" i="3" s="1"/>
  <c r="R25" i="1"/>
  <c r="K20" i="3" s="1"/>
  <c r="R26" i="1"/>
  <c r="K21" i="3" s="1"/>
  <c r="R27" i="1"/>
  <c r="K22" i="3" s="1"/>
  <c r="R28" i="1"/>
  <c r="K23" i="3" s="1"/>
  <c r="R29" i="1"/>
  <c r="K24" i="3" s="1"/>
  <c r="R30" i="1"/>
  <c r="K25" i="3" s="1"/>
  <c r="R31" i="1"/>
  <c r="K26" i="3" s="1"/>
  <c r="R32" i="1"/>
  <c r="K27" i="3" s="1"/>
  <c r="R33" i="1"/>
  <c r="K28" i="3" s="1"/>
  <c r="R34" i="1"/>
  <c r="K29" i="3" s="1"/>
  <c r="R35" i="1"/>
  <c r="K30" i="3" s="1"/>
  <c r="R36" i="1"/>
  <c r="K31" i="3" s="1"/>
  <c r="R37" i="1"/>
  <c r="K32" i="3" s="1"/>
  <c r="R38" i="1"/>
  <c r="K33" i="3" s="1"/>
  <c r="R39" i="1"/>
  <c r="K34" i="3" s="1"/>
  <c r="R40" i="1"/>
  <c r="K35" i="3" s="1"/>
  <c r="R41" i="1"/>
  <c r="K36" i="3" s="1"/>
  <c r="R42" i="1"/>
  <c r="K37" i="3" s="1"/>
  <c r="R43" i="1"/>
  <c r="K38" i="3" s="1"/>
  <c r="R44" i="1"/>
  <c r="K39" i="3" s="1"/>
  <c r="R45" i="1"/>
  <c r="K40" i="3" s="1"/>
  <c r="R46" i="1"/>
  <c r="K41" i="3" s="1"/>
  <c r="R47" i="1"/>
  <c r="K42" i="3" s="1"/>
  <c r="R48" i="1"/>
  <c r="K43" i="3" s="1"/>
  <c r="R49" i="1"/>
  <c r="K44" i="3" s="1"/>
  <c r="R50" i="1"/>
  <c r="K45" i="3" s="1"/>
  <c r="R51" i="1"/>
  <c r="K46" i="3" s="1"/>
  <c r="R52" i="1"/>
  <c r="K47" i="3" s="1"/>
  <c r="R53" i="1"/>
  <c r="K48" i="3" s="1"/>
  <c r="R54" i="1"/>
  <c r="K49" i="3" s="1"/>
  <c r="R55" i="1"/>
  <c r="K50" i="3" s="1"/>
  <c r="R56" i="1"/>
  <c r="K51" i="3" s="1"/>
  <c r="R57" i="1"/>
  <c r="K52" i="3" s="1"/>
  <c r="R58" i="1"/>
  <c r="K53" i="3" s="1"/>
  <c r="R59" i="1"/>
  <c r="K54" i="3" s="1"/>
  <c r="R60" i="1"/>
  <c r="K55" i="3" s="1"/>
  <c r="R61" i="1"/>
  <c r="K56" i="3" s="1"/>
  <c r="R62" i="1"/>
  <c r="K57" i="3" s="1"/>
  <c r="R63" i="1"/>
  <c r="K58" i="3" s="1"/>
  <c r="R64" i="1"/>
  <c r="K59" i="3" s="1"/>
  <c r="R65" i="1"/>
  <c r="K60" i="3" s="1"/>
  <c r="R66" i="1"/>
  <c r="K61" i="3" s="1"/>
  <c r="R67" i="1"/>
  <c r="K62" i="3" s="1"/>
  <c r="R68" i="1"/>
  <c r="K63" i="3" s="1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R6" i="1"/>
  <c r="K1" i="3" s="1"/>
  <c r="L8" i="1"/>
  <c r="F3" i="3" s="1"/>
  <c r="L9" i="1"/>
  <c r="F4" i="3" s="1"/>
  <c r="L12" i="1"/>
  <c r="F7" i="3" s="1"/>
  <c r="L15" i="1"/>
  <c r="F10" i="3" s="1"/>
  <c r="L18" i="1"/>
  <c r="F13" i="3" s="1"/>
  <c r="L21" i="1"/>
  <c r="F16" i="3" s="1"/>
  <c r="L24" i="1"/>
  <c r="F19" i="3" s="1"/>
  <c r="L25" i="1"/>
  <c r="F20" i="3" s="1"/>
  <c r="L34" i="1"/>
  <c r="F29" i="3" s="1"/>
  <c r="L37" i="1"/>
  <c r="F32" i="3" s="1"/>
  <c r="L41" i="1"/>
  <c r="F36" i="3" s="1"/>
  <c r="L46" i="1"/>
  <c r="F41" i="3" s="1"/>
  <c r="L49" i="1"/>
  <c r="F44" i="3" s="1"/>
  <c r="L50" i="1"/>
  <c r="F45" i="3" s="1"/>
  <c r="L68" i="1"/>
  <c r="F63" i="3" s="1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J8" i="1"/>
  <c r="E3" i="3" s="1"/>
  <c r="J9" i="1"/>
  <c r="E4" i="3" s="1"/>
  <c r="J12" i="1"/>
  <c r="E7" i="3" s="1"/>
  <c r="J15" i="1"/>
  <c r="E10" i="3" s="1"/>
  <c r="J18" i="1"/>
  <c r="E13" i="3" s="1"/>
  <c r="J21" i="1"/>
  <c r="E16" i="3" s="1"/>
  <c r="J24" i="1"/>
  <c r="E19" i="3" s="1"/>
  <c r="J25" i="1"/>
  <c r="E20" i="3" s="1"/>
  <c r="J34" i="1"/>
  <c r="E29" i="3" s="1"/>
  <c r="J37" i="1"/>
  <c r="E32" i="3" s="1"/>
  <c r="J41" i="1"/>
  <c r="E36" i="3" s="1"/>
  <c r="J46" i="1"/>
  <c r="E41" i="3" s="1"/>
  <c r="J49" i="1"/>
  <c r="E44" i="3" s="1"/>
  <c r="J50" i="1"/>
  <c r="E45" i="3" s="1"/>
  <c r="J68" i="1"/>
  <c r="E63" i="3" s="1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H8" i="1"/>
  <c r="D3" i="3" s="1"/>
  <c r="H9" i="1"/>
  <c r="D4" i="3" s="1"/>
  <c r="H12" i="1"/>
  <c r="D7" i="3" s="1"/>
  <c r="H15" i="1"/>
  <c r="D10" i="3" s="1"/>
  <c r="H18" i="1"/>
  <c r="D13" i="3" s="1"/>
  <c r="H21" i="1"/>
  <c r="D16" i="3" s="1"/>
  <c r="H24" i="1"/>
  <c r="D19" i="3" s="1"/>
  <c r="H25" i="1"/>
  <c r="D20" i="3" s="1"/>
  <c r="H34" i="1"/>
  <c r="D29" i="3" s="1"/>
  <c r="H37" i="1"/>
  <c r="D32" i="3" s="1"/>
  <c r="H41" i="1"/>
  <c r="D36" i="3" s="1"/>
  <c r="H46" i="1"/>
  <c r="D41" i="3" s="1"/>
  <c r="H49" i="1"/>
  <c r="D44" i="3" s="1"/>
  <c r="H50" i="1"/>
  <c r="D45" i="3" s="1"/>
  <c r="H68" i="1"/>
  <c r="D63" i="3" s="1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F8" i="1"/>
  <c r="C3" i="3" s="1"/>
  <c r="F9" i="1"/>
  <c r="C4" i="3" s="1"/>
  <c r="F12" i="1"/>
  <c r="C7" i="3" s="1"/>
  <c r="F15" i="1"/>
  <c r="C10" i="3" s="1"/>
  <c r="F18" i="1"/>
  <c r="C13" i="3" s="1"/>
  <c r="F21" i="1"/>
  <c r="C16" i="3" s="1"/>
  <c r="F24" i="1"/>
  <c r="C19" i="3" s="1"/>
  <c r="F25" i="1"/>
  <c r="C20" i="3" s="1"/>
  <c r="F34" i="1"/>
  <c r="C29" i="3" s="1"/>
  <c r="F37" i="1"/>
  <c r="C32" i="3" s="1"/>
  <c r="F41" i="1"/>
  <c r="C36" i="3" s="1"/>
  <c r="F46" i="1"/>
  <c r="C41" i="3" s="1"/>
  <c r="F49" i="1"/>
  <c r="C44" i="3" s="1"/>
  <c r="F50" i="1"/>
  <c r="C45" i="3" s="1"/>
  <c r="F68" i="1"/>
  <c r="C63" i="3" s="1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L6" i="1"/>
  <c r="F1" i="3" s="1"/>
  <c r="J6" i="1"/>
  <c r="E1" i="3" s="1"/>
  <c r="H6" i="1"/>
  <c r="D1" i="3" s="1"/>
  <c r="F6" i="1"/>
  <c r="C1" i="3" s="1"/>
  <c r="D8" i="1"/>
  <c r="B3" i="3" s="1"/>
  <c r="D9" i="1"/>
  <c r="B4" i="3" s="1"/>
  <c r="D12" i="1"/>
  <c r="B7" i="3" s="1"/>
  <c r="D15" i="1"/>
  <c r="B10" i="3" s="1"/>
  <c r="D18" i="1"/>
  <c r="B13" i="3" s="1"/>
  <c r="D21" i="1"/>
  <c r="B16" i="3" s="1"/>
  <c r="D24" i="1"/>
  <c r="B19" i="3" s="1"/>
  <c r="D25" i="1"/>
  <c r="B20" i="3" s="1"/>
  <c r="D34" i="1"/>
  <c r="B29" i="3" s="1"/>
  <c r="D37" i="1"/>
  <c r="B32" i="3" s="1"/>
  <c r="D41" i="1"/>
  <c r="B36" i="3" s="1"/>
  <c r="D46" i="1"/>
  <c r="B41" i="3" s="1"/>
  <c r="D49" i="1"/>
  <c r="B44" i="3" s="1"/>
  <c r="D50" i="1"/>
  <c r="B45" i="3" s="1"/>
  <c r="D68" i="1"/>
  <c r="B63" i="3" s="1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D6" i="1"/>
  <c r="B1" i="3" s="1"/>
</calcChain>
</file>

<file path=xl/sharedStrings.xml><?xml version="1.0" encoding="utf-8"?>
<sst xmlns="http://schemas.openxmlformats.org/spreadsheetml/2006/main" count="1917" uniqueCount="93">
  <si>
    <t>移動</t>
    <rPh sb="0" eb="2">
      <t>イドウ</t>
    </rPh>
    <phoneticPr fontId="1"/>
  </si>
  <si>
    <t>バレット
タイプ</t>
    <phoneticPr fontId="1"/>
  </si>
  <si>
    <t>バレット
テクスチャ</t>
    <phoneticPr fontId="1"/>
  </si>
  <si>
    <t>バレット
スピード</t>
    <phoneticPr fontId="1"/>
  </si>
  <si>
    <t>バレット
発射時間</t>
    <rPh sb="5" eb="7">
      <t>ハッシャ</t>
    </rPh>
    <rPh sb="7" eb="9">
      <t>ジカン</t>
    </rPh>
    <phoneticPr fontId="1"/>
  </si>
  <si>
    <t>バレット
連射速度</t>
    <rPh sb="5" eb="7">
      <t>レンシャ</t>
    </rPh>
    <rPh sb="7" eb="9">
      <t>ソクド</t>
    </rPh>
    <phoneticPr fontId="1"/>
  </si>
  <si>
    <t>バレット
分割</t>
    <rPh sb="5" eb="7">
      <t>ブンカツ</t>
    </rPh>
    <phoneticPr fontId="1"/>
  </si>
  <si>
    <t>バレット
チェンジ</t>
    <phoneticPr fontId="1"/>
  </si>
  <si>
    <t>バレット
オプション</t>
    <phoneticPr fontId="1"/>
  </si>
  <si>
    <t>ポップ
座標</t>
    <rPh sb="4" eb="6">
      <t>ザヒョウ</t>
    </rPh>
    <phoneticPr fontId="1"/>
  </si>
  <si>
    <t>エネミー
タイプ
タイプ</t>
    <phoneticPr fontId="1"/>
  </si>
  <si>
    <t>引数</t>
    <rPh sb="0" eb="2">
      <t>ヒキスウ</t>
    </rPh>
    <phoneticPr fontId="1"/>
  </si>
  <si>
    <t>TYPE_B_WH</t>
  </si>
  <si>
    <t>TYPE_N_RD</t>
  </si>
  <si>
    <t>TYPE_N_PI</t>
  </si>
  <si>
    <t>TYPE_N_YE</t>
  </si>
  <si>
    <t>TYPE_N_GR</t>
  </si>
  <si>
    <t>TYPE_N_LB</t>
  </si>
  <si>
    <t>TYPE_N_BU</t>
  </si>
  <si>
    <t>TYPE_N_WH</t>
  </si>
  <si>
    <t>TYPE_S_WH</t>
  </si>
  <si>
    <t>TYPE_S_PI</t>
  </si>
  <si>
    <t>POP00</t>
  </si>
  <si>
    <t>POP01</t>
  </si>
  <si>
    <t>POP02</t>
  </si>
  <si>
    <t>POP03</t>
  </si>
  <si>
    <t>POP04</t>
  </si>
  <si>
    <t>POP05</t>
  </si>
  <si>
    <t>POP06</t>
  </si>
  <si>
    <t>POP07</t>
  </si>
  <si>
    <t>POP08</t>
  </si>
  <si>
    <t>MOVE00</t>
  </si>
  <si>
    <t>MOVE01</t>
  </si>
  <si>
    <t>MOVE02</t>
  </si>
  <si>
    <t>MOVE03</t>
  </si>
  <si>
    <t>MOVE04</t>
  </si>
  <si>
    <t>MOVE05</t>
  </si>
  <si>
    <t>MOVE06</t>
  </si>
  <si>
    <t>MOVE07</t>
  </si>
  <si>
    <t>MOVE08</t>
  </si>
  <si>
    <t>MOVE09</t>
  </si>
  <si>
    <t>BTYPE00</t>
  </si>
  <si>
    <t>BTYPE01</t>
  </si>
  <si>
    <t>BTYPE02</t>
  </si>
  <si>
    <t>BTYPE03</t>
  </si>
  <si>
    <t>BTYPE04</t>
  </si>
  <si>
    <t>BTYPE05</t>
  </si>
  <si>
    <t>BTYPE06</t>
  </si>
  <si>
    <t>BTYPE07</t>
  </si>
  <si>
    <t>BTYPE08</t>
  </si>
  <si>
    <t>BTEX_RD1</t>
  </si>
  <si>
    <t>BTEX_OR1</t>
  </si>
  <si>
    <t>BTEX_YE1</t>
  </si>
  <si>
    <t>BTEX_GR1</t>
  </si>
  <si>
    <t>BTEX_LB1</t>
  </si>
  <si>
    <t>BTEX_BU1</t>
  </si>
  <si>
    <t>BTEX_VO1</t>
  </si>
  <si>
    <t>BTEX_PI1</t>
  </si>
  <si>
    <t>BTEX_WH1</t>
  </si>
  <si>
    <t>BTEX_RD2</t>
  </si>
  <si>
    <t>BTEX_OR2</t>
  </si>
  <si>
    <t>BTEX_YE2</t>
  </si>
  <si>
    <t>BTEX_GR2</t>
  </si>
  <si>
    <t>BTEX_LB2</t>
  </si>
  <si>
    <t>BTEX_BU2</t>
  </si>
  <si>
    <t>BTEX_VO2</t>
  </si>
  <si>
    <t>BTEX_PI2</t>
  </si>
  <si>
    <t>BTEX_WH2</t>
  </si>
  <si>
    <t>BTEX_RD3</t>
  </si>
  <si>
    <t>BTEX_OR3</t>
  </si>
  <si>
    <t>BTEX_YE3</t>
  </si>
  <si>
    <t>BTEX_GR3</t>
  </si>
  <si>
    <t>BTEX_LB3</t>
  </si>
  <si>
    <t>BTEX_BU3</t>
  </si>
  <si>
    <t>BTEX_VO3</t>
  </si>
  <si>
    <t>BTEX_PI3</t>
  </si>
  <si>
    <t>BTEX_WH3</t>
  </si>
  <si>
    <t>BSPD_DOWN</t>
  </si>
  <si>
    <t>BSPD_UP</t>
    <phoneticPr fontId="1"/>
  </si>
  <si>
    <t>BSPD_NO</t>
  </si>
  <si>
    <t>BSPD_NO</t>
    <phoneticPr fontId="1"/>
  </si>
  <si>
    <t>num</t>
    <phoneticPr fontId="1"/>
  </si>
  <si>
    <t>num2</t>
  </si>
  <si>
    <t>num3</t>
  </si>
  <si>
    <t>num4</t>
  </si>
  <si>
    <t>num5</t>
  </si>
  <si>
    <t>num6</t>
  </si>
  <si>
    <t>エネミー
タイプ</t>
    <phoneticPr fontId="1"/>
  </si>
  <si>
    <t>ポップ
カウント</t>
    <phoneticPr fontId="1"/>
  </si>
  <si>
    <t>MOVE02</t>
    <phoneticPr fontId="1"/>
  </si>
  <si>
    <t>Easy</t>
    <phoneticPr fontId="1"/>
  </si>
  <si>
    <t>Normal</t>
    <phoneticPr fontId="1"/>
  </si>
  <si>
    <t>Hard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</si>
</sst>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6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133350</xdr:rowOff>
        </xdr:from>
        <xdr:to>
          <xdr:col>10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デスクトップにCSVを出力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133350</xdr:rowOff>
        </xdr:from>
        <xdr:to>
          <xdr:col>10</xdr:col>
          <xdr:colOff>504825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デスクトップにCSVを出力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133350</xdr:rowOff>
        </xdr:from>
        <xdr:to>
          <xdr:col>10</xdr:col>
          <xdr:colOff>504825</xdr:colOff>
          <xdr:row>2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デスクトップにCSVを出力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B5:S104" totalsRowShown="0" headerRowDxfId="65" dataDxfId="63" headerRowBorderDxfId="64" tableBorderDxfId="62">
  <autoFilter ref="B5:S104"/>
  <tableColumns count="18">
    <tableColumn id="19" name="ポップ_x000a_カウント" dataDxfId="61"/>
    <tableColumn id="2" name="エネミー_x000a_タイプ" dataDxfId="60"/>
    <tableColumn id="3" name="num" dataDxfId="59">
      <calculatedColumnFormula>IFERROR(VLOOKUP(C6,enum!B$4:P$30,15,FALSE),"")</calculatedColumnFormula>
    </tableColumn>
    <tableColumn id="4" name="ポップ_x000a_座標" dataDxfId="58"/>
    <tableColumn id="5" name="num2" dataDxfId="57">
      <calculatedColumnFormula>IFERROR(VLOOKUP(E6,enum!D$4:R$30,13,FALSE),"")</calculatedColumnFormula>
    </tableColumn>
    <tableColumn id="6" name="移動" dataDxfId="56"/>
    <tableColumn id="7" name="num3" dataDxfId="55">
      <calculatedColumnFormula>IFERROR(VLOOKUP(G6,enum!F$4:T$30,11,FALSE),"")</calculatedColumnFormula>
    </tableColumn>
    <tableColumn id="8" name="バレット_x000a_タイプ" dataDxfId="54"/>
    <tableColumn id="9" name="num4" dataDxfId="53">
      <calculatedColumnFormula>IFERROR(VLOOKUP(I6,enum!H$4:V$30,9,FALSE),"")</calculatedColumnFormula>
    </tableColumn>
    <tableColumn id="10" name="バレット_x000a_テクスチャ" dataDxfId="52"/>
    <tableColumn id="11" name="num5" dataDxfId="51">
      <calculatedColumnFormula>IFERROR(VLOOKUP(K6,enum!J$4:X$30,7,FALSE),"")</calculatedColumnFormula>
    </tableColumn>
    <tableColumn id="12" name="バレット_x000a_スピード" dataDxfId="50"/>
    <tableColumn id="13" name="バレット_x000a_発射時間" dataDxfId="49"/>
    <tableColumn id="14" name="バレット_x000a_連射速度" dataDxfId="48"/>
    <tableColumn id="15" name="バレット_x000a_分割" dataDxfId="47"/>
    <tableColumn id="16" name="バレット_x000a_チェンジ" dataDxfId="46"/>
    <tableColumn id="17" name="num6" dataDxfId="45">
      <calculatedColumnFormula>IFERROR(VLOOKUP(Q6,enum!L$4:Q$30,5,FALSE),"")</calculatedColumnFormula>
    </tableColumn>
    <tableColumn id="18" name="バレット_x000a_オプション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B5:S104" totalsRowShown="0" headerRowDxfId="43" dataDxfId="41" headerRowBorderDxfId="42" tableBorderDxfId="40">
  <autoFilter ref="B5:S104"/>
  <tableColumns count="18">
    <tableColumn id="19" name="ポップ_x000a_カウント" dataDxfId="39"/>
    <tableColumn id="2" name="エネミー_x000a_タイプ" dataDxfId="38"/>
    <tableColumn id="3" name="num" dataDxfId="37">
      <calculatedColumnFormula>IFERROR(VLOOKUP(C6,enum!B$4:P$30,15,FALSE),"")</calculatedColumnFormula>
    </tableColumn>
    <tableColumn id="4" name="ポップ_x000a_座標" dataDxfId="36"/>
    <tableColumn id="5" name="num2" dataDxfId="35">
      <calculatedColumnFormula>IFERROR(VLOOKUP(E6,enum!D$4:R$30,13,FALSE),"")</calculatedColumnFormula>
    </tableColumn>
    <tableColumn id="6" name="移動" dataDxfId="34"/>
    <tableColumn id="7" name="num3" dataDxfId="33">
      <calculatedColumnFormula>IFERROR(VLOOKUP(G6,enum!F$4:T$30,11,FALSE),"")</calculatedColumnFormula>
    </tableColumn>
    <tableColumn id="8" name="バレット_x000a_タイプ" dataDxfId="32"/>
    <tableColumn id="9" name="num4" dataDxfId="31">
      <calculatedColumnFormula>IFERROR(VLOOKUP(I6,enum!H$4:V$30,9,FALSE),"")</calculatedColumnFormula>
    </tableColumn>
    <tableColumn id="10" name="バレット_x000a_テクスチャ" dataDxfId="30"/>
    <tableColumn id="11" name="num5" dataDxfId="29">
      <calculatedColumnFormula>IFERROR(VLOOKUP(K6,enum!J$4:X$30,7,FALSE),"")</calculatedColumnFormula>
    </tableColumn>
    <tableColumn id="12" name="バレット_x000a_スピード" dataDxfId="28"/>
    <tableColumn id="13" name="バレット_x000a_発射時間" dataDxfId="27"/>
    <tableColumn id="14" name="バレット_x000a_連射速度" dataDxfId="26"/>
    <tableColumn id="15" name="バレット_x000a_分割" dataDxfId="25"/>
    <tableColumn id="16" name="バレット_x000a_チェンジ" dataDxfId="24"/>
    <tableColumn id="17" name="num6" dataDxfId="23">
      <calculatedColumnFormula>IFERROR(VLOOKUP(Q6,enum!L$4:Q$30,5,FALSE),"")</calculatedColumnFormula>
    </tableColumn>
    <tableColumn id="18" name="バレット_x000a_オプション" dataDxfId="2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3" name="テーブル134" displayName="テーブル134" ref="B5:S104" totalsRowShown="0" headerRowDxfId="21" dataDxfId="19" headerRowBorderDxfId="20" tableBorderDxfId="18">
  <autoFilter ref="B5:S104"/>
  <tableColumns count="18">
    <tableColumn id="19" name="ポップ_x000a_カウント" dataDxfId="17"/>
    <tableColumn id="2" name="エネミー_x000a_タイプ" dataDxfId="16"/>
    <tableColumn id="3" name="num" dataDxfId="15">
      <calculatedColumnFormula>IFERROR(VLOOKUP(C6,enum!B$4:P$30,15,FALSE),"")</calculatedColumnFormula>
    </tableColumn>
    <tableColumn id="4" name="ポップ_x000a_座標" dataDxfId="14"/>
    <tableColumn id="5" name="num2" dataDxfId="13">
      <calculatedColumnFormula>IFERROR(VLOOKUP(E6,enum!D$4:R$30,13,FALSE),"")</calculatedColumnFormula>
    </tableColumn>
    <tableColumn id="6" name="移動" dataDxfId="12"/>
    <tableColumn id="7" name="num3" dataDxfId="11">
      <calculatedColumnFormula>IFERROR(VLOOKUP(G6,enum!F$4:T$30,11,FALSE),"")</calculatedColumnFormula>
    </tableColumn>
    <tableColumn id="8" name="バレット_x000a_タイプ" dataDxfId="10"/>
    <tableColumn id="9" name="num4" dataDxfId="9">
      <calculatedColumnFormula>IFERROR(VLOOKUP(I6,enum!H$4:V$30,9,FALSE),"")</calculatedColumnFormula>
    </tableColumn>
    <tableColumn id="10" name="バレット_x000a_テクスチャ" dataDxfId="8"/>
    <tableColumn id="11" name="num5" dataDxfId="7">
      <calculatedColumnFormula>IFERROR(VLOOKUP(K6,enum!J$4:X$30,7,FALSE),"")</calculatedColumnFormula>
    </tableColumn>
    <tableColumn id="12" name="バレット_x000a_スピード" dataDxfId="6"/>
    <tableColumn id="13" name="バレット_x000a_発射時間" dataDxfId="5"/>
    <tableColumn id="14" name="バレット_x000a_連射速度" dataDxfId="4"/>
    <tableColumn id="15" name="バレット_x000a_分割" dataDxfId="3"/>
    <tableColumn id="16" name="バレット_x000a_チェンジ" dataDxfId="2"/>
    <tableColumn id="17" name="num6" dataDxfId="1">
      <calculatedColumnFormula>IFERROR(VLOOKUP(Q6,enum!L$4:Q$30,5,FALSE),"")</calculatedColumnFormula>
    </tableColumn>
    <tableColumn id="18" name="バレット_x000a_オプション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104"/>
  <sheetViews>
    <sheetView tabSelected="1" zoomScale="130" zoomScaleNormal="130" workbookViewId="0">
      <pane xSplit="2" ySplit="5" topLeftCell="C8" activePane="bottomRight" state="frozen"/>
      <selection pane="topRight" activeCell="C1" sqref="C1"/>
      <selection pane="bottomLeft" activeCell="A6" sqref="A6"/>
      <selection pane="bottomRight" activeCell="E8" sqref="E8"/>
    </sheetView>
  </sheetViews>
  <sheetFormatPr defaultRowHeight="13.5" x14ac:dyDescent="0.15"/>
  <cols>
    <col min="2" max="2" width="8" style="2" customWidth="1"/>
    <col min="3" max="3" width="9.625" style="2" customWidth="1"/>
    <col min="4" max="4" width="7.125" hidden="1" customWidth="1"/>
    <col min="5" max="5" width="8" style="2" customWidth="1"/>
    <col min="6" max="6" width="8" hidden="1" customWidth="1"/>
    <col min="7" max="7" width="8" style="2" customWidth="1"/>
    <col min="8" max="8" width="8" hidden="1" customWidth="1"/>
    <col min="9" max="9" width="8.75" style="2" customWidth="1"/>
    <col min="10" max="10" width="8" hidden="1" customWidth="1"/>
    <col min="11" max="11" width="9.25" style="2" customWidth="1"/>
    <col min="12" max="12" width="8" hidden="1" customWidth="1"/>
    <col min="13" max="16" width="8" style="2" customWidth="1"/>
    <col min="17" max="17" width="8.625" style="2" customWidth="1"/>
    <col min="18" max="18" width="8" customWidth="1"/>
    <col min="19" max="19" width="8" style="2" customWidth="1"/>
    <col min="20" max="20" width="8.25" style="2" customWidth="1"/>
  </cols>
  <sheetData>
    <row r="1" spans="2:20" ht="14.25" thickBot="1" x14ac:dyDescent="0.2"/>
    <row r="2" spans="2:20" ht="14.25" thickBot="1" x14ac:dyDescent="0.2">
      <c r="B2" s="23" t="s">
        <v>90</v>
      </c>
      <c r="C2" s="24"/>
    </row>
    <row r="4" spans="2:20" s="2" customFormat="1" hidden="1" x14ac:dyDescent="0.15">
      <c r="B4" s="19" t="s">
        <v>11</v>
      </c>
      <c r="C4" s="20">
        <v>1</v>
      </c>
      <c r="D4" s="20"/>
      <c r="E4" s="20">
        <v>2</v>
      </c>
      <c r="F4" s="20"/>
      <c r="G4" s="20">
        <v>3</v>
      </c>
      <c r="H4" s="20"/>
      <c r="I4" s="20">
        <v>4</v>
      </c>
      <c r="J4" s="20"/>
      <c r="K4" s="20">
        <v>5</v>
      </c>
      <c r="L4" s="20"/>
      <c r="M4" s="20">
        <v>6</v>
      </c>
      <c r="N4" s="20">
        <v>7</v>
      </c>
      <c r="O4" s="20">
        <v>8</v>
      </c>
      <c r="P4" s="20">
        <v>9</v>
      </c>
      <c r="Q4" s="20">
        <v>10</v>
      </c>
      <c r="R4" s="20"/>
      <c r="S4" s="21">
        <v>11</v>
      </c>
    </row>
    <row r="5" spans="2:20" s="10" customFormat="1" ht="26.25" customHeight="1" thickBot="1" x14ac:dyDescent="0.2">
      <c r="B5" s="11" t="s">
        <v>88</v>
      </c>
      <c r="C5" s="12" t="s">
        <v>87</v>
      </c>
      <c r="D5" s="13" t="s">
        <v>81</v>
      </c>
      <c r="E5" s="12" t="s">
        <v>9</v>
      </c>
      <c r="F5" s="13" t="s">
        <v>82</v>
      </c>
      <c r="G5" s="12" t="s">
        <v>0</v>
      </c>
      <c r="H5" s="13" t="s">
        <v>83</v>
      </c>
      <c r="I5" s="12" t="s">
        <v>1</v>
      </c>
      <c r="J5" s="13" t="s">
        <v>84</v>
      </c>
      <c r="K5" s="12" t="s">
        <v>2</v>
      </c>
      <c r="L5" s="13" t="s">
        <v>85</v>
      </c>
      <c r="M5" s="12" t="s">
        <v>3</v>
      </c>
      <c r="N5" s="12" t="s">
        <v>4</v>
      </c>
      <c r="O5" s="12" t="s">
        <v>5</v>
      </c>
      <c r="P5" s="12" t="s">
        <v>6</v>
      </c>
      <c r="Q5" s="12" t="s">
        <v>7</v>
      </c>
      <c r="R5" s="13" t="s">
        <v>86</v>
      </c>
      <c r="S5" s="14" t="s">
        <v>8</v>
      </c>
    </row>
    <row r="6" spans="2:20" x14ac:dyDescent="0.15">
      <c r="B6" s="3">
        <v>200</v>
      </c>
      <c r="C6" s="6" t="s">
        <v>13</v>
      </c>
      <c r="D6" s="7">
        <f>IFERROR(VLOOKUP(C6,enum!B$4:P$30,15,FALSE),"")</f>
        <v>0</v>
      </c>
      <c r="E6" s="6" t="s">
        <v>24</v>
      </c>
      <c r="F6" s="7">
        <f>IFERROR(VLOOKUP(E6,enum!D$4:R$30,13,FALSE),"")</f>
        <v>2</v>
      </c>
      <c r="G6" s="6" t="s">
        <v>35</v>
      </c>
      <c r="H6" s="7">
        <f>IFERROR(VLOOKUP(G6,enum!F$4:T$30,11,FALSE),"")</f>
        <v>4</v>
      </c>
      <c r="I6" s="6" t="s">
        <v>41</v>
      </c>
      <c r="J6" s="7">
        <f>IFERROR(VLOOKUP(I6,enum!H$4:V$30,9,FALSE),"")</f>
        <v>0</v>
      </c>
      <c r="K6" s="6" t="s">
        <v>50</v>
      </c>
      <c r="L6" s="7">
        <f>IFERROR(VLOOKUP(K6,enum!J$4:X$30,7,FALSE),"")</f>
        <v>0</v>
      </c>
      <c r="M6" s="7">
        <v>7</v>
      </c>
      <c r="N6" s="7">
        <v>1</v>
      </c>
      <c r="O6" s="7">
        <v>1</v>
      </c>
      <c r="P6" s="7">
        <v>1</v>
      </c>
      <c r="Q6" s="6" t="s">
        <v>79</v>
      </c>
      <c r="R6" s="7">
        <f>IFERROR(VLOOKUP(Q6,enum!L$4:Q$30,5,FALSE),"")</f>
        <v>0</v>
      </c>
      <c r="S6" s="8">
        <v>0</v>
      </c>
      <c r="T6"/>
    </row>
    <row r="7" spans="2:20" x14ac:dyDescent="0.15">
      <c r="B7" s="15">
        <v>250</v>
      </c>
      <c r="C7" s="6" t="s">
        <v>13</v>
      </c>
      <c r="D7" s="7">
        <f>IFERROR(VLOOKUP(C7,enum!B$4:P$30,15,FALSE),"")</f>
        <v>0</v>
      </c>
      <c r="E7" s="6" t="s">
        <v>24</v>
      </c>
      <c r="F7" s="7">
        <f>IFERROR(VLOOKUP(E7,enum!D$4:R$30,13,FALSE),"")</f>
        <v>2</v>
      </c>
      <c r="G7" s="6" t="s">
        <v>35</v>
      </c>
      <c r="H7" s="7">
        <f>IFERROR(VLOOKUP(G7,enum!F$4:T$30,11,FALSE),"")</f>
        <v>4</v>
      </c>
      <c r="I7" s="6" t="s">
        <v>41</v>
      </c>
      <c r="J7" s="7">
        <f>IFERROR(VLOOKUP(I7,enum!H$4:V$30,9,FALSE),"")</f>
        <v>0</v>
      </c>
      <c r="K7" s="6" t="s">
        <v>50</v>
      </c>
      <c r="L7" s="7">
        <f>IFERROR(VLOOKUP(K7,enum!J$4:X$30,7,FALSE),"")</f>
        <v>0</v>
      </c>
      <c r="M7" s="7">
        <v>7</v>
      </c>
      <c r="N7" s="7">
        <v>1</v>
      </c>
      <c r="O7" s="7">
        <v>1</v>
      </c>
      <c r="P7" s="7">
        <v>1</v>
      </c>
      <c r="Q7" s="6" t="s">
        <v>79</v>
      </c>
      <c r="R7" s="7">
        <f>IFERROR(VLOOKUP(Q7,enum!L$4:Q$30,5,FALSE),"")</f>
        <v>0</v>
      </c>
      <c r="S7" s="8">
        <v>0</v>
      </c>
      <c r="T7"/>
    </row>
    <row r="8" spans="2:20" x14ac:dyDescent="0.15">
      <c r="B8" s="15">
        <v>300</v>
      </c>
      <c r="C8" s="5" t="s">
        <v>13</v>
      </c>
      <c r="D8" s="4">
        <f>IFERROR(VLOOKUP(C8,enum!B$4:P$30,15,FALSE),"")</f>
        <v>0</v>
      </c>
      <c r="E8" s="5" t="s">
        <v>24</v>
      </c>
      <c r="F8" s="4">
        <f>IFERROR(VLOOKUP(E8,enum!D$4:R$30,13,FALSE),"")</f>
        <v>2</v>
      </c>
      <c r="G8" s="5" t="s">
        <v>89</v>
      </c>
      <c r="H8" s="4">
        <f>IFERROR(VLOOKUP(G8,enum!F$4:T$30,11,FALSE),"")</f>
        <v>2</v>
      </c>
      <c r="I8" s="5" t="s">
        <v>41</v>
      </c>
      <c r="J8" s="4">
        <f>IFERROR(VLOOKUP(I8,enum!H$4:V$30,9,FALSE),"")</f>
        <v>0</v>
      </c>
      <c r="K8" s="5" t="s">
        <v>50</v>
      </c>
      <c r="L8" s="4">
        <f>IFERROR(VLOOKUP(K8,enum!J$4:X$30,7,FALSE),"")</f>
        <v>0</v>
      </c>
      <c r="M8" s="7">
        <v>7</v>
      </c>
      <c r="N8" s="7">
        <v>1</v>
      </c>
      <c r="O8" s="7">
        <v>1</v>
      </c>
      <c r="P8" s="7">
        <v>1</v>
      </c>
      <c r="Q8" s="5" t="s">
        <v>79</v>
      </c>
      <c r="R8" s="4">
        <f>IFERROR(VLOOKUP(Q8,enum!L$4:Q$30,5,FALSE),"")</f>
        <v>0</v>
      </c>
      <c r="S8" s="9">
        <v>0</v>
      </c>
      <c r="T8"/>
    </row>
    <row r="9" spans="2:20" x14ac:dyDescent="0.15">
      <c r="B9" s="15">
        <v>400</v>
      </c>
      <c r="C9" s="5" t="s">
        <v>18</v>
      </c>
      <c r="D9" s="4">
        <f>IFERROR(VLOOKUP(C9,enum!B$4:P$30,15,FALSE),"")</f>
        <v>5</v>
      </c>
      <c r="E9" s="5" t="s">
        <v>26</v>
      </c>
      <c r="F9" s="4">
        <f>IFERROR(VLOOKUP(E9,enum!D$4:R$30,13,FALSE),"")</f>
        <v>4</v>
      </c>
      <c r="G9" s="5" t="s">
        <v>35</v>
      </c>
      <c r="H9" s="4">
        <f>IFERROR(VLOOKUP(G9,enum!F$4:T$30,11,FALSE),"")</f>
        <v>4</v>
      </c>
      <c r="I9" s="5" t="s">
        <v>41</v>
      </c>
      <c r="J9" s="4">
        <f>IFERROR(VLOOKUP(I9,enum!H$4:V$30,9,FALSE),"")</f>
        <v>0</v>
      </c>
      <c r="K9" s="5" t="s">
        <v>55</v>
      </c>
      <c r="L9" s="4">
        <f>IFERROR(VLOOKUP(K9,enum!J$4:X$30,7,FALSE),"")</f>
        <v>5</v>
      </c>
      <c r="M9" s="7">
        <v>7</v>
      </c>
      <c r="N9" s="7">
        <v>1</v>
      </c>
      <c r="O9" s="7">
        <v>1</v>
      </c>
      <c r="P9" s="7">
        <v>1</v>
      </c>
      <c r="Q9" s="5" t="s">
        <v>79</v>
      </c>
      <c r="R9" s="4">
        <f>IFERROR(VLOOKUP(Q9,enum!L$4:Q$30,5,FALSE),"")</f>
        <v>0</v>
      </c>
      <c r="S9" s="9">
        <v>0</v>
      </c>
      <c r="T9"/>
    </row>
    <row r="10" spans="2:20" x14ac:dyDescent="0.15">
      <c r="B10" s="15">
        <v>450</v>
      </c>
      <c r="C10" s="5" t="s">
        <v>18</v>
      </c>
      <c r="D10" s="4">
        <f>IFERROR(VLOOKUP(C10,enum!B$4:P$30,15,FALSE),"")</f>
        <v>5</v>
      </c>
      <c r="E10" s="5" t="s">
        <v>26</v>
      </c>
      <c r="F10" s="4">
        <f>IFERROR(VLOOKUP(E10,enum!D$4:R$30,13,FALSE),"")</f>
        <v>4</v>
      </c>
      <c r="G10" s="5" t="s">
        <v>35</v>
      </c>
      <c r="H10" s="4">
        <f>IFERROR(VLOOKUP(G10,enum!F$4:T$30,11,FALSE),"")</f>
        <v>4</v>
      </c>
      <c r="I10" s="5" t="s">
        <v>41</v>
      </c>
      <c r="J10" s="4">
        <f>IFERROR(VLOOKUP(I10,enum!H$4:V$30,9,FALSE),"")</f>
        <v>0</v>
      </c>
      <c r="K10" s="5" t="s">
        <v>55</v>
      </c>
      <c r="L10" s="4">
        <f>IFERROR(VLOOKUP(K10,enum!J$4:X$30,7,FALSE),"")</f>
        <v>5</v>
      </c>
      <c r="M10" s="7">
        <v>7</v>
      </c>
      <c r="N10" s="7">
        <v>1</v>
      </c>
      <c r="O10" s="7">
        <v>1</v>
      </c>
      <c r="P10" s="7">
        <v>1</v>
      </c>
      <c r="Q10" s="5" t="s">
        <v>79</v>
      </c>
      <c r="R10" s="4">
        <f>IFERROR(VLOOKUP(Q10,enum!L$4:Q$30,5,FALSE),"")</f>
        <v>0</v>
      </c>
      <c r="S10" s="9">
        <v>0</v>
      </c>
      <c r="T10"/>
    </row>
    <row r="11" spans="2:20" x14ac:dyDescent="0.15">
      <c r="B11" s="15">
        <v>500</v>
      </c>
      <c r="C11" s="5" t="s">
        <v>18</v>
      </c>
      <c r="D11" s="4">
        <f>IFERROR(VLOOKUP(C11,enum!B$4:P$30,15,FALSE),"")</f>
        <v>5</v>
      </c>
      <c r="E11" s="5" t="s">
        <v>26</v>
      </c>
      <c r="F11" s="4">
        <f>IFERROR(VLOOKUP(E11,enum!D$4:R$30,13,FALSE),"")</f>
        <v>4</v>
      </c>
      <c r="G11" s="5" t="s">
        <v>35</v>
      </c>
      <c r="H11" s="4">
        <f>IFERROR(VLOOKUP(G11,enum!F$4:T$30,11,FALSE),"")</f>
        <v>4</v>
      </c>
      <c r="I11" s="5" t="s">
        <v>41</v>
      </c>
      <c r="J11" s="4">
        <f>IFERROR(VLOOKUP(I11,enum!H$4:V$30,9,FALSE),"")</f>
        <v>0</v>
      </c>
      <c r="K11" s="5" t="s">
        <v>55</v>
      </c>
      <c r="L11" s="4">
        <f>IFERROR(VLOOKUP(K11,enum!J$4:X$30,7,FALSE),"")</f>
        <v>5</v>
      </c>
      <c r="M11" s="7">
        <v>7</v>
      </c>
      <c r="N11" s="7">
        <v>1</v>
      </c>
      <c r="O11" s="7">
        <v>1</v>
      </c>
      <c r="P11" s="7">
        <v>1</v>
      </c>
      <c r="Q11" s="5" t="s">
        <v>79</v>
      </c>
      <c r="R11" s="4">
        <f>IFERROR(VLOOKUP(Q11,enum!L$4:Q$30,5,FALSE),"")</f>
        <v>0</v>
      </c>
      <c r="S11" s="9">
        <v>0</v>
      </c>
      <c r="T11"/>
    </row>
    <row r="12" spans="2:20" x14ac:dyDescent="0.15">
      <c r="B12" s="15">
        <v>600</v>
      </c>
      <c r="C12" s="5" t="s">
        <v>14</v>
      </c>
      <c r="D12" s="4">
        <f>IFERROR(VLOOKUP(C12,enum!B$4:P$30,15,FALSE),"")</f>
        <v>1</v>
      </c>
      <c r="E12" s="5" t="s">
        <v>25</v>
      </c>
      <c r="F12" s="4">
        <f>IFERROR(VLOOKUP(E12,enum!D$4:R$30,13,FALSE),"")</f>
        <v>3</v>
      </c>
      <c r="G12" s="5" t="s">
        <v>35</v>
      </c>
      <c r="H12" s="4">
        <f>IFERROR(VLOOKUP(G12,enum!F$4:T$30,11,FALSE),"")</f>
        <v>4</v>
      </c>
      <c r="I12" s="5" t="s">
        <v>41</v>
      </c>
      <c r="J12" s="4">
        <f>IFERROR(VLOOKUP(I12,enum!H$4:V$30,9,FALSE),"")</f>
        <v>0</v>
      </c>
      <c r="K12" s="5" t="s">
        <v>57</v>
      </c>
      <c r="L12" s="4">
        <f>IFERROR(VLOOKUP(K12,enum!J$4:X$30,7,FALSE),"")</f>
        <v>7</v>
      </c>
      <c r="M12" s="7">
        <v>7</v>
      </c>
      <c r="N12" s="7">
        <v>1</v>
      </c>
      <c r="O12" s="7">
        <v>1</v>
      </c>
      <c r="P12" s="7">
        <v>1</v>
      </c>
      <c r="Q12" s="5" t="s">
        <v>79</v>
      </c>
      <c r="R12" s="4">
        <f>IFERROR(VLOOKUP(Q12,enum!L$4:Q$30,5,FALSE),"")</f>
        <v>0</v>
      </c>
      <c r="S12" s="9">
        <v>0</v>
      </c>
      <c r="T12"/>
    </row>
    <row r="13" spans="2:20" x14ac:dyDescent="0.15">
      <c r="B13" s="15">
        <v>650</v>
      </c>
      <c r="C13" s="5" t="s">
        <v>14</v>
      </c>
      <c r="D13" s="4">
        <f>IFERROR(VLOOKUP(C13,enum!B$4:P$30,15,FALSE),"")</f>
        <v>1</v>
      </c>
      <c r="E13" s="5" t="s">
        <v>25</v>
      </c>
      <c r="F13" s="4">
        <f>IFERROR(VLOOKUP(E13,enum!D$4:R$30,13,FALSE),"")</f>
        <v>3</v>
      </c>
      <c r="G13" s="5" t="s">
        <v>35</v>
      </c>
      <c r="H13" s="4">
        <f>IFERROR(VLOOKUP(G13,enum!F$4:T$30,11,FALSE),"")</f>
        <v>4</v>
      </c>
      <c r="I13" s="5" t="s">
        <v>41</v>
      </c>
      <c r="J13" s="4">
        <f>IFERROR(VLOOKUP(I13,enum!H$4:V$30,9,FALSE),"")</f>
        <v>0</v>
      </c>
      <c r="K13" s="5" t="s">
        <v>57</v>
      </c>
      <c r="L13" s="4">
        <f>IFERROR(VLOOKUP(K13,enum!J$4:X$30,7,FALSE),"")</f>
        <v>7</v>
      </c>
      <c r="M13" s="7">
        <v>7</v>
      </c>
      <c r="N13" s="7">
        <v>1</v>
      </c>
      <c r="O13" s="7">
        <v>1</v>
      </c>
      <c r="P13" s="7">
        <v>1</v>
      </c>
      <c r="Q13" s="5" t="s">
        <v>79</v>
      </c>
      <c r="R13" s="4">
        <f>IFERROR(VLOOKUP(Q13,enum!L$4:Q$30,5,FALSE),"")</f>
        <v>0</v>
      </c>
      <c r="S13" s="9">
        <v>0</v>
      </c>
      <c r="T13"/>
    </row>
    <row r="14" spans="2:20" x14ac:dyDescent="0.15">
      <c r="B14" s="15">
        <v>700</v>
      </c>
      <c r="C14" s="5" t="s">
        <v>14</v>
      </c>
      <c r="D14" s="4">
        <f>IFERROR(VLOOKUP(C14,enum!B$4:P$30,15,FALSE),"")</f>
        <v>1</v>
      </c>
      <c r="E14" s="5" t="s">
        <v>25</v>
      </c>
      <c r="F14" s="4">
        <f>IFERROR(VLOOKUP(E14,enum!D$4:R$30,13,FALSE),"")</f>
        <v>3</v>
      </c>
      <c r="G14" s="5" t="s">
        <v>35</v>
      </c>
      <c r="H14" s="4">
        <f>IFERROR(VLOOKUP(G14,enum!F$4:T$30,11,FALSE),"")</f>
        <v>4</v>
      </c>
      <c r="I14" s="5" t="s">
        <v>41</v>
      </c>
      <c r="J14" s="4">
        <f>IFERROR(VLOOKUP(I14,enum!H$4:V$30,9,FALSE),"")</f>
        <v>0</v>
      </c>
      <c r="K14" s="5" t="s">
        <v>57</v>
      </c>
      <c r="L14" s="4">
        <f>IFERROR(VLOOKUP(K14,enum!J$4:X$30,7,FALSE),"")</f>
        <v>7</v>
      </c>
      <c r="M14" s="7">
        <v>7</v>
      </c>
      <c r="N14" s="7">
        <v>1</v>
      </c>
      <c r="O14" s="7">
        <v>1</v>
      </c>
      <c r="P14" s="7">
        <v>1</v>
      </c>
      <c r="Q14" s="5" t="s">
        <v>79</v>
      </c>
      <c r="R14" s="4">
        <f>IFERROR(VLOOKUP(Q14,enum!L$4:Q$30,5,FALSE),"")</f>
        <v>0</v>
      </c>
      <c r="S14" s="9">
        <v>0</v>
      </c>
      <c r="T14"/>
    </row>
    <row r="15" spans="2:20" x14ac:dyDescent="0.15">
      <c r="B15" s="15">
        <v>800</v>
      </c>
      <c r="C15" s="5" t="s">
        <v>16</v>
      </c>
      <c r="D15" s="4">
        <f>IFERROR(VLOOKUP(C15,enum!B$4:P$30,15,FALSE),"")</f>
        <v>3</v>
      </c>
      <c r="E15" s="5" t="s">
        <v>29</v>
      </c>
      <c r="F15" s="4">
        <f>IFERROR(VLOOKUP(E15,enum!D$4:R$30,13,FALSE),"")</f>
        <v>7</v>
      </c>
      <c r="G15" s="5" t="s">
        <v>35</v>
      </c>
      <c r="H15" s="4">
        <f>IFERROR(VLOOKUP(G15,enum!F$4:T$30,11,FALSE),"")</f>
        <v>4</v>
      </c>
      <c r="I15" s="5" t="s">
        <v>41</v>
      </c>
      <c r="J15" s="4">
        <f>IFERROR(VLOOKUP(I15,enum!H$4:V$30,9,FALSE),"")</f>
        <v>0</v>
      </c>
      <c r="K15" s="5" t="s">
        <v>53</v>
      </c>
      <c r="L15" s="4">
        <f>IFERROR(VLOOKUP(K15,enum!J$4:X$30,7,FALSE),"")</f>
        <v>3</v>
      </c>
      <c r="M15" s="7">
        <v>7</v>
      </c>
      <c r="N15" s="7">
        <v>1</v>
      </c>
      <c r="O15" s="7">
        <v>1</v>
      </c>
      <c r="P15" s="7">
        <v>1</v>
      </c>
      <c r="Q15" s="5" t="s">
        <v>79</v>
      </c>
      <c r="R15" s="4">
        <f>IFERROR(VLOOKUP(Q15,enum!L$4:Q$30,5,FALSE),"")</f>
        <v>0</v>
      </c>
      <c r="S15" s="9">
        <v>0</v>
      </c>
      <c r="T15"/>
    </row>
    <row r="16" spans="2:20" x14ac:dyDescent="0.15">
      <c r="B16" s="15">
        <v>850</v>
      </c>
      <c r="C16" s="5" t="s">
        <v>16</v>
      </c>
      <c r="D16" s="4">
        <f>IFERROR(VLOOKUP(C16,enum!B$4:P$30,15,FALSE),"")</f>
        <v>3</v>
      </c>
      <c r="E16" s="5" t="s">
        <v>29</v>
      </c>
      <c r="F16" s="4">
        <f>IFERROR(VLOOKUP(E16,enum!D$4:R$30,13,FALSE),"")</f>
        <v>7</v>
      </c>
      <c r="G16" s="5" t="s">
        <v>35</v>
      </c>
      <c r="H16" s="4">
        <f>IFERROR(VLOOKUP(G16,enum!F$4:T$30,11,FALSE),"")</f>
        <v>4</v>
      </c>
      <c r="I16" s="5" t="s">
        <v>41</v>
      </c>
      <c r="J16" s="4">
        <f>IFERROR(VLOOKUP(I16,enum!H$4:V$30,9,FALSE),"")</f>
        <v>0</v>
      </c>
      <c r="K16" s="5" t="s">
        <v>53</v>
      </c>
      <c r="L16" s="4">
        <f>IFERROR(VLOOKUP(K16,enum!J$4:X$30,7,FALSE),"")</f>
        <v>3</v>
      </c>
      <c r="M16" s="7">
        <v>7</v>
      </c>
      <c r="N16" s="7">
        <v>1</v>
      </c>
      <c r="O16" s="7">
        <v>1</v>
      </c>
      <c r="P16" s="7">
        <v>1</v>
      </c>
      <c r="Q16" s="5" t="s">
        <v>79</v>
      </c>
      <c r="R16" s="4">
        <f>IFERROR(VLOOKUP(Q16,enum!L$4:Q$30,5,FALSE),"")</f>
        <v>0</v>
      </c>
      <c r="S16" s="9">
        <v>0</v>
      </c>
      <c r="T16"/>
    </row>
    <row r="17" spans="2:20" x14ac:dyDescent="0.15">
      <c r="B17" s="15">
        <v>900</v>
      </c>
      <c r="C17" s="5" t="s">
        <v>16</v>
      </c>
      <c r="D17" s="4">
        <f>IFERROR(VLOOKUP(C17,enum!B$4:P$30,15,FALSE),"")</f>
        <v>3</v>
      </c>
      <c r="E17" s="5" t="s">
        <v>29</v>
      </c>
      <c r="F17" s="4">
        <f>IFERROR(VLOOKUP(E17,enum!D$4:R$30,13,FALSE),"")</f>
        <v>7</v>
      </c>
      <c r="G17" s="5" t="s">
        <v>35</v>
      </c>
      <c r="H17" s="4">
        <f>IFERROR(VLOOKUP(G17,enum!F$4:T$30,11,FALSE),"")</f>
        <v>4</v>
      </c>
      <c r="I17" s="5" t="s">
        <v>41</v>
      </c>
      <c r="J17" s="4">
        <f>IFERROR(VLOOKUP(I17,enum!H$4:V$30,9,FALSE),"")</f>
        <v>0</v>
      </c>
      <c r="K17" s="5" t="s">
        <v>53</v>
      </c>
      <c r="L17" s="4">
        <f>IFERROR(VLOOKUP(K17,enum!J$4:X$30,7,FALSE),"")</f>
        <v>3</v>
      </c>
      <c r="M17" s="7">
        <v>7</v>
      </c>
      <c r="N17" s="7">
        <v>1</v>
      </c>
      <c r="O17" s="7">
        <v>1</v>
      </c>
      <c r="P17" s="7">
        <v>1</v>
      </c>
      <c r="Q17" s="5" t="s">
        <v>79</v>
      </c>
      <c r="R17" s="4">
        <f>IFERROR(VLOOKUP(Q17,enum!L$4:Q$30,5,FALSE),"")</f>
        <v>0</v>
      </c>
      <c r="S17" s="9">
        <v>0</v>
      </c>
      <c r="T17"/>
    </row>
    <row r="18" spans="2:20" x14ac:dyDescent="0.15">
      <c r="B18" s="15">
        <v>900</v>
      </c>
      <c r="C18" s="5" t="s">
        <v>20</v>
      </c>
      <c r="D18" s="4">
        <f>IFERROR(VLOOKUP(C18,enum!B$4:P$30,15,FALSE),"")</f>
        <v>7</v>
      </c>
      <c r="E18" s="5" t="s">
        <v>26</v>
      </c>
      <c r="F18" s="4">
        <f>IFERROR(VLOOKUP(E18,enum!D$4:R$30,13,FALSE),"")</f>
        <v>4</v>
      </c>
      <c r="G18" s="5" t="s">
        <v>38</v>
      </c>
      <c r="H18" s="4">
        <f>IFERROR(VLOOKUP(G18,enum!F$4:T$30,11,FALSE),"")</f>
        <v>7</v>
      </c>
      <c r="I18" s="5" t="s">
        <v>46</v>
      </c>
      <c r="J18" s="4">
        <f>IFERROR(VLOOKUP(I18,enum!H$4:V$30,9,FALSE),"")</f>
        <v>5</v>
      </c>
      <c r="K18" s="5" t="s">
        <v>54</v>
      </c>
      <c r="L18" s="4">
        <f>IFERROR(VLOOKUP(K18,enum!J$4:X$30,7,FALSE),"")</f>
        <v>4</v>
      </c>
      <c r="M18" s="4">
        <v>5</v>
      </c>
      <c r="N18" s="4">
        <v>1</v>
      </c>
      <c r="O18" s="4">
        <v>1</v>
      </c>
      <c r="P18" s="4">
        <v>11</v>
      </c>
      <c r="Q18" s="5" t="s">
        <v>79</v>
      </c>
      <c r="R18" s="4">
        <f>IFERROR(VLOOKUP(Q18,enum!L$4:Q$30,5,FALSE),"")</f>
        <v>0</v>
      </c>
      <c r="S18" s="9">
        <v>0</v>
      </c>
      <c r="T18"/>
    </row>
    <row r="19" spans="2:20" x14ac:dyDescent="0.15">
      <c r="B19" s="15">
        <v>1100</v>
      </c>
      <c r="C19" s="5" t="s">
        <v>20</v>
      </c>
      <c r="D19" s="4">
        <f>IFERROR(VLOOKUP(C19,enum!B$4:P$30,15,FALSE),"")</f>
        <v>7</v>
      </c>
      <c r="E19" s="5" t="s">
        <v>24</v>
      </c>
      <c r="F19" s="4">
        <f>IFERROR(VLOOKUP(E19,enum!D$4:R$30,13,FALSE),"")</f>
        <v>2</v>
      </c>
      <c r="G19" s="5" t="s">
        <v>38</v>
      </c>
      <c r="H19" s="4">
        <f>IFERROR(VLOOKUP(G19,enum!F$4:T$30,11,FALSE),"")</f>
        <v>7</v>
      </c>
      <c r="I19" s="5" t="s">
        <v>46</v>
      </c>
      <c r="J19" s="4">
        <f>IFERROR(VLOOKUP(I19,enum!H$4:V$30,9,FALSE),"")</f>
        <v>5</v>
      </c>
      <c r="K19" s="5" t="s">
        <v>54</v>
      </c>
      <c r="L19" s="4">
        <f>IFERROR(VLOOKUP(K19,enum!J$4:X$30,7,FALSE),"")</f>
        <v>4</v>
      </c>
      <c r="M19" s="4">
        <v>5</v>
      </c>
      <c r="N19" s="4">
        <v>1</v>
      </c>
      <c r="O19" s="4">
        <v>1</v>
      </c>
      <c r="P19" s="4">
        <v>11</v>
      </c>
      <c r="Q19" s="5" t="s">
        <v>79</v>
      </c>
      <c r="R19" s="4">
        <f>IFERROR(VLOOKUP(Q19,enum!L$4:Q$30,5,FALSE),"")</f>
        <v>0</v>
      </c>
      <c r="S19" s="9">
        <v>0</v>
      </c>
      <c r="T19"/>
    </row>
    <row r="20" spans="2:20" x14ac:dyDescent="0.15">
      <c r="B20" s="15">
        <v>1300</v>
      </c>
      <c r="C20" s="5" t="s">
        <v>20</v>
      </c>
      <c r="D20" s="4">
        <f>IFERROR(VLOOKUP(C20,enum!B$4:P$30,15,FALSE),"")</f>
        <v>7</v>
      </c>
      <c r="E20" s="5" t="s">
        <v>28</v>
      </c>
      <c r="F20" s="4">
        <f>IFERROR(VLOOKUP(E20,enum!D$4:R$30,13,FALSE),"")</f>
        <v>6</v>
      </c>
      <c r="G20" s="5" t="s">
        <v>38</v>
      </c>
      <c r="H20" s="4">
        <f>IFERROR(VLOOKUP(G20,enum!F$4:T$30,11,FALSE),"")</f>
        <v>7</v>
      </c>
      <c r="I20" s="5" t="s">
        <v>46</v>
      </c>
      <c r="J20" s="4">
        <f>IFERROR(VLOOKUP(I20,enum!H$4:V$30,9,FALSE),"")</f>
        <v>5</v>
      </c>
      <c r="K20" s="5" t="s">
        <v>54</v>
      </c>
      <c r="L20" s="4">
        <f>IFERROR(VLOOKUP(K20,enum!J$4:X$30,7,FALSE),"")</f>
        <v>4</v>
      </c>
      <c r="M20" s="4">
        <v>5</v>
      </c>
      <c r="N20" s="4">
        <v>1</v>
      </c>
      <c r="O20" s="4">
        <v>1</v>
      </c>
      <c r="P20" s="4">
        <v>11</v>
      </c>
      <c r="Q20" s="5" t="s">
        <v>79</v>
      </c>
      <c r="R20" s="4">
        <f>IFERROR(VLOOKUP(Q20,enum!L$4:Q$30,5,FALSE),"")</f>
        <v>0</v>
      </c>
      <c r="S20" s="9">
        <v>0</v>
      </c>
      <c r="T20"/>
    </row>
    <row r="21" spans="2:20" x14ac:dyDescent="0.15">
      <c r="B21" s="15">
        <v>1350</v>
      </c>
      <c r="C21" s="5" t="s">
        <v>16</v>
      </c>
      <c r="D21" s="4">
        <f>IFERROR(VLOOKUP(C21,enum!B$4:P$30,15,FALSE),"")</f>
        <v>3</v>
      </c>
      <c r="E21" s="5" t="s">
        <v>23</v>
      </c>
      <c r="F21" s="4">
        <f>IFERROR(VLOOKUP(E21,enum!D$4:R$30,13,FALSE),"")</f>
        <v>1</v>
      </c>
      <c r="G21" s="5" t="s">
        <v>31</v>
      </c>
      <c r="H21" s="4">
        <f>IFERROR(VLOOKUP(G21,enum!F$4:T$30,11,FALSE),"")</f>
        <v>0</v>
      </c>
      <c r="I21" s="5" t="s">
        <v>41</v>
      </c>
      <c r="J21" s="4">
        <f>IFERROR(VLOOKUP(I21,enum!H$4:V$30,9,FALSE),"")</f>
        <v>0</v>
      </c>
      <c r="K21" s="5" t="s">
        <v>53</v>
      </c>
      <c r="L21" s="4">
        <f>IFERROR(VLOOKUP(K21,enum!J$4:X$30,7,FALSE),"")</f>
        <v>3</v>
      </c>
      <c r="M21" s="4">
        <v>7</v>
      </c>
      <c r="N21" s="4">
        <v>1</v>
      </c>
      <c r="O21" s="4">
        <v>1</v>
      </c>
      <c r="P21" s="4">
        <v>1</v>
      </c>
      <c r="Q21" s="5" t="s">
        <v>79</v>
      </c>
      <c r="R21" s="4">
        <f>IFERROR(VLOOKUP(Q21,enum!L$4:Q$30,5,FALSE),"")</f>
        <v>0</v>
      </c>
      <c r="S21" s="9">
        <v>0</v>
      </c>
      <c r="T21"/>
    </row>
    <row r="22" spans="2:20" x14ac:dyDescent="0.15">
      <c r="B22" s="15">
        <v>1400</v>
      </c>
      <c r="C22" s="5" t="s">
        <v>16</v>
      </c>
      <c r="D22" s="4">
        <f>IFERROR(VLOOKUP(C22,enum!B$4:P$30,15,FALSE),"")</f>
        <v>3</v>
      </c>
      <c r="E22" s="5" t="s">
        <v>23</v>
      </c>
      <c r="F22" s="4">
        <f>IFERROR(VLOOKUP(E22,enum!D$4:R$30,13,FALSE),"")</f>
        <v>1</v>
      </c>
      <c r="G22" s="5" t="s">
        <v>31</v>
      </c>
      <c r="H22" s="4">
        <f>IFERROR(VLOOKUP(G22,enum!F$4:T$30,11,FALSE),"")</f>
        <v>0</v>
      </c>
      <c r="I22" s="5" t="s">
        <v>41</v>
      </c>
      <c r="J22" s="4">
        <f>IFERROR(VLOOKUP(I22,enum!H$4:V$30,9,FALSE),"")</f>
        <v>0</v>
      </c>
      <c r="K22" s="5" t="s">
        <v>53</v>
      </c>
      <c r="L22" s="4">
        <f>IFERROR(VLOOKUP(K22,enum!J$4:X$30,7,FALSE),"")</f>
        <v>3</v>
      </c>
      <c r="M22" s="4">
        <v>7</v>
      </c>
      <c r="N22" s="4">
        <v>1</v>
      </c>
      <c r="O22" s="4">
        <v>1</v>
      </c>
      <c r="P22" s="4">
        <v>1</v>
      </c>
      <c r="Q22" s="5" t="s">
        <v>79</v>
      </c>
      <c r="R22" s="4">
        <f>IFERROR(VLOOKUP(Q22,enum!L$4:Q$30,5,FALSE),"")</f>
        <v>0</v>
      </c>
      <c r="S22" s="9">
        <v>0</v>
      </c>
      <c r="T22"/>
    </row>
    <row r="23" spans="2:20" x14ac:dyDescent="0.15">
      <c r="B23" s="15">
        <v>1450</v>
      </c>
      <c r="C23" s="5" t="s">
        <v>16</v>
      </c>
      <c r="D23" s="4">
        <f>IFERROR(VLOOKUP(C23,enum!B$4:P$30,15,FALSE),"")</f>
        <v>3</v>
      </c>
      <c r="E23" s="5" t="s">
        <v>23</v>
      </c>
      <c r="F23" s="4">
        <f>IFERROR(VLOOKUP(E23,enum!D$4:R$30,13,FALSE),"")</f>
        <v>1</v>
      </c>
      <c r="G23" s="5" t="s">
        <v>31</v>
      </c>
      <c r="H23" s="4">
        <f>IFERROR(VLOOKUP(G23,enum!F$4:T$30,11,FALSE),"")</f>
        <v>0</v>
      </c>
      <c r="I23" s="5" t="s">
        <v>41</v>
      </c>
      <c r="J23" s="4">
        <f>IFERROR(VLOOKUP(I23,enum!H$4:V$30,9,FALSE),"")</f>
        <v>0</v>
      </c>
      <c r="K23" s="5" t="s">
        <v>53</v>
      </c>
      <c r="L23" s="4">
        <f>IFERROR(VLOOKUP(K23,enum!J$4:X$30,7,FALSE),"")</f>
        <v>3</v>
      </c>
      <c r="M23" s="4">
        <v>7</v>
      </c>
      <c r="N23" s="4">
        <v>1</v>
      </c>
      <c r="O23" s="4">
        <v>1</v>
      </c>
      <c r="P23" s="4">
        <v>1</v>
      </c>
      <c r="Q23" s="5" t="s">
        <v>79</v>
      </c>
      <c r="R23" s="4">
        <f>IFERROR(VLOOKUP(Q23,enum!L$4:Q$30,5,FALSE),"")</f>
        <v>0</v>
      </c>
      <c r="S23" s="9">
        <v>0</v>
      </c>
      <c r="T23"/>
    </row>
    <row r="24" spans="2:20" x14ac:dyDescent="0.15">
      <c r="B24" s="15">
        <v>1550</v>
      </c>
      <c r="C24" s="5" t="s">
        <v>20</v>
      </c>
      <c r="D24" s="4">
        <f>IFERROR(VLOOKUP(C24,enum!B$4:P$30,15,FALSE),"")</f>
        <v>7</v>
      </c>
      <c r="E24" s="5" t="s">
        <v>26</v>
      </c>
      <c r="F24" s="4">
        <f>IFERROR(VLOOKUP(E24,enum!D$4:R$30,13,FALSE),"")</f>
        <v>4</v>
      </c>
      <c r="G24" s="5" t="s">
        <v>38</v>
      </c>
      <c r="H24" s="4">
        <f>IFERROR(VLOOKUP(G24,enum!F$4:T$30,11,FALSE),"")</f>
        <v>7</v>
      </c>
      <c r="I24" s="5" t="s">
        <v>46</v>
      </c>
      <c r="J24" s="4">
        <f>IFERROR(VLOOKUP(I24,enum!H$4:V$30,9,FALSE),"")</f>
        <v>5</v>
      </c>
      <c r="K24" s="5" t="s">
        <v>55</v>
      </c>
      <c r="L24" s="4">
        <f>IFERROR(VLOOKUP(K24,enum!J$4:X$30,7,FALSE),"")</f>
        <v>5</v>
      </c>
      <c r="M24" s="4">
        <v>5</v>
      </c>
      <c r="N24" s="4">
        <v>1</v>
      </c>
      <c r="O24" s="4">
        <v>1</v>
      </c>
      <c r="P24" s="4">
        <v>20</v>
      </c>
      <c r="Q24" s="5" t="s">
        <v>79</v>
      </c>
      <c r="R24" s="4">
        <f>IFERROR(VLOOKUP(Q24,enum!L$4:Q$30,5,FALSE),"")</f>
        <v>0</v>
      </c>
      <c r="S24" s="9">
        <v>0</v>
      </c>
      <c r="T24"/>
    </row>
    <row r="25" spans="2:20" x14ac:dyDescent="0.15">
      <c r="B25" s="15">
        <v>1650</v>
      </c>
      <c r="C25" s="5" t="s">
        <v>13</v>
      </c>
      <c r="D25" s="4">
        <f>IFERROR(VLOOKUP(C25,enum!B$4:P$30,15,FALSE),"")</f>
        <v>0</v>
      </c>
      <c r="E25" s="5" t="s">
        <v>29</v>
      </c>
      <c r="F25" s="4">
        <f>IFERROR(VLOOKUP(E25,enum!D$4:R$30,13,FALSE),"")</f>
        <v>7</v>
      </c>
      <c r="G25" s="5" t="s">
        <v>32</v>
      </c>
      <c r="H25" s="4">
        <f>IFERROR(VLOOKUP(G25,enum!F$4:T$30,11,FALSE),"")</f>
        <v>1</v>
      </c>
      <c r="I25" s="5" t="s">
        <v>41</v>
      </c>
      <c r="J25" s="4">
        <f>IFERROR(VLOOKUP(I25,enum!H$4:V$30,9,FALSE),"")</f>
        <v>0</v>
      </c>
      <c r="K25" s="5" t="s">
        <v>50</v>
      </c>
      <c r="L25" s="4">
        <f>IFERROR(VLOOKUP(K25,enum!J$4:X$30,7,FALSE),"")</f>
        <v>0</v>
      </c>
      <c r="M25" s="4">
        <v>7</v>
      </c>
      <c r="N25" s="4">
        <v>1</v>
      </c>
      <c r="O25" s="4">
        <v>1</v>
      </c>
      <c r="P25" s="4">
        <v>1</v>
      </c>
      <c r="Q25" s="5" t="s">
        <v>79</v>
      </c>
      <c r="R25" s="4">
        <f>IFERROR(VLOOKUP(Q25,enum!L$4:Q$30,5,FALSE),"")</f>
        <v>0</v>
      </c>
      <c r="S25" s="9">
        <v>0</v>
      </c>
      <c r="T25"/>
    </row>
    <row r="26" spans="2:20" x14ac:dyDescent="0.15">
      <c r="B26" s="15">
        <v>1700</v>
      </c>
      <c r="C26" s="5" t="s">
        <v>13</v>
      </c>
      <c r="D26" s="4">
        <f>IFERROR(VLOOKUP(C26,enum!B$4:P$30,15,FALSE),"")</f>
        <v>0</v>
      </c>
      <c r="E26" s="5" t="s">
        <v>29</v>
      </c>
      <c r="F26" s="4">
        <f>IFERROR(VLOOKUP(E26,enum!D$4:R$30,13,FALSE),"")</f>
        <v>7</v>
      </c>
      <c r="G26" s="5" t="s">
        <v>32</v>
      </c>
      <c r="H26" s="4">
        <f>IFERROR(VLOOKUP(G26,enum!F$4:T$30,11,FALSE),"")</f>
        <v>1</v>
      </c>
      <c r="I26" s="5" t="s">
        <v>41</v>
      </c>
      <c r="J26" s="4">
        <f>IFERROR(VLOOKUP(I26,enum!H$4:V$30,9,FALSE),"")</f>
        <v>0</v>
      </c>
      <c r="K26" s="5" t="s">
        <v>50</v>
      </c>
      <c r="L26" s="4">
        <f>IFERROR(VLOOKUP(K26,enum!J$4:X$30,7,FALSE),"")</f>
        <v>0</v>
      </c>
      <c r="M26" s="4">
        <v>7</v>
      </c>
      <c r="N26" s="4">
        <v>1</v>
      </c>
      <c r="O26" s="4">
        <v>1</v>
      </c>
      <c r="P26" s="4">
        <v>1</v>
      </c>
      <c r="Q26" s="5" t="s">
        <v>79</v>
      </c>
      <c r="R26" s="4">
        <f>IFERROR(VLOOKUP(Q26,enum!L$4:Q$30,5,FALSE),"")</f>
        <v>0</v>
      </c>
      <c r="S26" s="9">
        <v>0</v>
      </c>
      <c r="T26"/>
    </row>
    <row r="27" spans="2:20" x14ac:dyDescent="0.15">
      <c r="B27" s="15">
        <v>1750</v>
      </c>
      <c r="C27" s="5" t="s">
        <v>13</v>
      </c>
      <c r="D27" s="4">
        <f>IFERROR(VLOOKUP(C27,enum!B$4:P$30,15,FALSE),"")</f>
        <v>0</v>
      </c>
      <c r="E27" s="5" t="s">
        <v>29</v>
      </c>
      <c r="F27" s="4">
        <f>IFERROR(VLOOKUP(E27,enum!D$4:R$30,13,FALSE),"")</f>
        <v>7</v>
      </c>
      <c r="G27" s="5" t="s">
        <v>32</v>
      </c>
      <c r="H27" s="4">
        <f>IFERROR(VLOOKUP(G27,enum!F$4:T$30,11,FALSE),"")</f>
        <v>1</v>
      </c>
      <c r="I27" s="5" t="s">
        <v>41</v>
      </c>
      <c r="J27" s="4">
        <f>IFERROR(VLOOKUP(I27,enum!H$4:V$30,9,FALSE),"")</f>
        <v>0</v>
      </c>
      <c r="K27" s="5" t="s">
        <v>50</v>
      </c>
      <c r="L27" s="4">
        <f>IFERROR(VLOOKUP(K27,enum!J$4:X$30,7,FALSE),"")</f>
        <v>0</v>
      </c>
      <c r="M27" s="4">
        <v>7</v>
      </c>
      <c r="N27" s="4">
        <v>1</v>
      </c>
      <c r="O27" s="4">
        <v>1</v>
      </c>
      <c r="P27" s="4">
        <v>1</v>
      </c>
      <c r="Q27" s="5" t="s">
        <v>79</v>
      </c>
      <c r="R27" s="4">
        <f>IFERROR(VLOOKUP(Q27,enum!L$4:Q$30,5,FALSE),"")</f>
        <v>0</v>
      </c>
      <c r="S27" s="9">
        <v>0</v>
      </c>
      <c r="T27"/>
    </row>
    <row r="28" spans="2:20" x14ac:dyDescent="0.15">
      <c r="B28" s="15">
        <v>1900</v>
      </c>
      <c r="C28" s="5" t="s">
        <v>20</v>
      </c>
      <c r="D28" s="4">
        <f>IFERROR(VLOOKUP(C28,enum!B$4:P$30,15,FALSE),"")</f>
        <v>7</v>
      </c>
      <c r="E28" s="5" t="s">
        <v>26</v>
      </c>
      <c r="F28" s="4">
        <f>IFERROR(VLOOKUP(E28,enum!D$4:R$30,13,FALSE),"")</f>
        <v>4</v>
      </c>
      <c r="G28" s="5" t="s">
        <v>38</v>
      </c>
      <c r="H28" s="4">
        <f>IFERROR(VLOOKUP(G28,enum!F$4:T$30,11,FALSE),"")</f>
        <v>7</v>
      </c>
      <c r="I28" s="5" t="s">
        <v>47</v>
      </c>
      <c r="J28" s="4">
        <f>IFERROR(VLOOKUP(I28,enum!H$4:V$30,9,FALSE),"")</f>
        <v>6</v>
      </c>
      <c r="K28" s="5" t="s">
        <v>54</v>
      </c>
      <c r="L28" s="4">
        <f>IFERROR(VLOOKUP(K28,enum!J$4:X$30,7,FALSE),"")</f>
        <v>4</v>
      </c>
      <c r="M28" s="4">
        <v>5</v>
      </c>
      <c r="N28" s="4">
        <v>1</v>
      </c>
      <c r="O28" s="4">
        <v>1</v>
      </c>
      <c r="P28" s="4">
        <v>20</v>
      </c>
      <c r="Q28" s="5" t="s">
        <v>79</v>
      </c>
      <c r="R28" s="4">
        <f>IFERROR(VLOOKUP(Q28,enum!L$4:Q$30,5,FALSE),"")</f>
        <v>0</v>
      </c>
      <c r="S28" s="9">
        <v>0</v>
      </c>
      <c r="T28"/>
    </row>
    <row r="29" spans="2:20" x14ac:dyDescent="0.15">
      <c r="B29" s="15">
        <v>2000</v>
      </c>
      <c r="C29" s="5" t="s">
        <v>20</v>
      </c>
      <c r="D29" s="4">
        <f>IFERROR(VLOOKUP(C29,enum!B$4:P$30,15,FALSE),"")</f>
        <v>7</v>
      </c>
      <c r="E29" s="5" t="s">
        <v>28</v>
      </c>
      <c r="F29" s="4">
        <f>IFERROR(VLOOKUP(E29,enum!D$4:R$30,13,FALSE),"")</f>
        <v>6</v>
      </c>
      <c r="G29" s="5" t="s">
        <v>38</v>
      </c>
      <c r="H29" s="4">
        <f>IFERROR(VLOOKUP(G29,enum!F$4:T$30,11,FALSE),"")</f>
        <v>7</v>
      </c>
      <c r="I29" s="5" t="s">
        <v>47</v>
      </c>
      <c r="J29" s="4">
        <f>IFERROR(VLOOKUP(I29,enum!H$4:V$30,9,FALSE),"")</f>
        <v>6</v>
      </c>
      <c r="K29" s="5" t="s">
        <v>54</v>
      </c>
      <c r="L29" s="4">
        <f>IFERROR(VLOOKUP(K29,enum!J$4:X$30,7,FALSE),"")</f>
        <v>4</v>
      </c>
      <c r="M29" s="4">
        <v>5</v>
      </c>
      <c r="N29" s="4">
        <v>1</v>
      </c>
      <c r="O29" s="4">
        <v>1</v>
      </c>
      <c r="P29" s="4">
        <v>20</v>
      </c>
      <c r="Q29" s="5" t="s">
        <v>79</v>
      </c>
      <c r="R29" s="4">
        <f>IFERROR(VLOOKUP(Q29,enum!L$4:Q$30,5,FALSE),"")</f>
        <v>0</v>
      </c>
      <c r="S29" s="9">
        <v>0</v>
      </c>
      <c r="T29"/>
    </row>
    <row r="30" spans="2:20" x14ac:dyDescent="0.15">
      <c r="B30" s="15">
        <v>2100</v>
      </c>
      <c r="C30" s="5" t="s">
        <v>20</v>
      </c>
      <c r="D30" s="4">
        <f>IFERROR(VLOOKUP(C30,enum!B$4:P$30,15,FALSE),"")</f>
        <v>7</v>
      </c>
      <c r="E30" s="5" t="s">
        <v>24</v>
      </c>
      <c r="F30" s="4">
        <f>IFERROR(VLOOKUP(E30,enum!D$4:R$30,13,FALSE),"")</f>
        <v>2</v>
      </c>
      <c r="G30" s="5" t="s">
        <v>38</v>
      </c>
      <c r="H30" s="4">
        <f>IFERROR(VLOOKUP(G30,enum!F$4:T$30,11,FALSE),"")</f>
        <v>7</v>
      </c>
      <c r="I30" s="5" t="s">
        <v>47</v>
      </c>
      <c r="J30" s="4">
        <f>IFERROR(VLOOKUP(I30,enum!H$4:V$30,9,FALSE),"")</f>
        <v>6</v>
      </c>
      <c r="K30" s="5" t="s">
        <v>54</v>
      </c>
      <c r="L30" s="4">
        <f>IFERROR(VLOOKUP(K30,enum!J$4:X$30,7,FALSE),"")</f>
        <v>4</v>
      </c>
      <c r="M30" s="4">
        <v>5</v>
      </c>
      <c r="N30" s="4">
        <v>1</v>
      </c>
      <c r="O30" s="4">
        <v>1</v>
      </c>
      <c r="P30" s="4">
        <v>20</v>
      </c>
      <c r="Q30" s="5" t="s">
        <v>79</v>
      </c>
      <c r="R30" s="4">
        <f>IFERROR(VLOOKUP(Q30,enum!L$4:Q$30,5,FALSE),"")</f>
        <v>0</v>
      </c>
      <c r="S30" s="9">
        <v>0</v>
      </c>
      <c r="T30"/>
    </row>
    <row r="31" spans="2:20" x14ac:dyDescent="0.15">
      <c r="B31" s="15">
        <v>2250</v>
      </c>
      <c r="C31" s="5" t="s">
        <v>16</v>
      </c>
      <c r="D31" s="4">
        <f>IFERROR(VLOOKUP(C31,enum!B$4:P$30,15,FALSE),"")</f>
        <v>3</v>
      </c>
      <c r="E31" s="5" t="s">
        <v>23</v>
      </c>
      <c r="F31" s="4">
        <f>IFERROR(VLOOKUP(E31,enum!D$4:R$30,13,FALSE),"")</f>
        <v>1</v>
      </c>
      <c r="G31" s="5" t="s">
        <v>31</v>
      </c>
      <c r="H31" s="4">
        <f>IFERROR(VLOOKUP(G31,enum!F$4:T$30,11,FALSE),"")</f>
        <v>0</v>
      </c>
      <c r="I31" s="5" t="s">
        <v>41</v>
      </c>
      <c r="J31" s="4">
        <f>IFERROR(VLOOKUP(I31,enum!H$4:V$30,9,FALSE),"")</f>
        <v>0</v>
      </c>
      <c r="K31" s="5" t="s">
        <v>53</v>
      </c>
      <c r="L31" s="4">
        <f>IFERROR(VLOOKUP(K31,enum!J$4:X$30,7,FALSE),"")</f>
        <v>3</v>
      </c>
      <c r="M31" s="4">
        <v>7</v>
      </c>
      <c r="N31" s="4">
        <v>1</v>
      </c>
      <c r="O31" s="4">
        <v>1</v>
      </c>
      <c r="P31" s="4">
        <v>1</v>
      </c>
      <c r="Q31" s="5" t="s">
        <v>79</v>
      </c>
      <c r="R31" s="4">
        <f>IFERROR(VLOOKUP(Q31,enum!L$4:Q$30,5,FALSE),"")</f>
        <v>0</v>
      </c>
      <c r="S31" s="9">
        <v>0</v>
      </c>
      <c r="T31"/>
    </row>
    <row r="32" spans="2:20" x14ac:dyDescent="0.15">
      <c r="B32" s="15">
        <v>2300</v>
      </c>
      <c r="C32" s="5" t="s">
        <v>16</v>
      </c>
      <c r="D32" s="4">
        <f>IFERROR(VLOOKUP(C32,enum!B$4:P$30,15,FALSE),"")</f>
        <v>3</v>
      </c>
      <c r="E32" s="5" t="s">
        <v>23</v>
      </c>
      <c r="F32" s="4">
        <f>IFERROR(VLOOKUP(E32,enum!D$4:R$30,13,FALSE),"")</f>
        <v>1</v>
      </c>
      <c r="G32" s="5" t="s">
        <v>31</v>
      </c>
      <c r="H32" s="4">
        <f>IFERROR(VLOOKUP(G32,enum!F$4:T$30,11,FALSE),"")</f>
        <v>0</v>
      </c>
      <c r="I32" s="5" t="s">
        <v>41</v>
      </c>
      <c r="J32" s="4">
        <f>IFERROR(VLOOKUP(I32,enum!H$4:V$30,9,FALSE),"")</f>
        <v>0</v>
      </c>
      <c r="K32" s="5" t="s">
        <v>53</v>
      </c>
      <c r="L32" s="4">
        <f>IFERROR(VLOOKUP(K32,enum!J$4:X$30,7,FALSE),"")</f>
        <v>3</v>
      </c>
      <c r="M32" s="4">
        <v>7</v>
      </c>
      <c r="N32" s="4">
        <v>1</v>
      </c>
      <c r="O32" s="4">
        <v>1</v>
      </c>
      <c r="P32" s="4">
        <v>1</v>
      </c>
      <c r="Q32" s="5" t="s">
        <v>79</v>
      </c>
      <c r="R32" s="4">
        <f>IFERROR(VLOOKUP(Q32,enum!L$4:Q$30,5,FALSE),"")</f>
        <v>0</v>
      </c>
      <c r="S32" s="9">
        <v>0</v>
      </c>
      <c r="T32"/>
    </row>
    <row r="33" spans="2:20" x14ac:dyDescent="0.15">
      <c r="B33" s="15">
        <v>2350</v>
      </c>
      <c r="C33" s="5" t="s">
        <v>16</v>
      </c>
      <c r="D33" s="4">
        <f>IFERROR(VLOOKUP(C33,enum!B$4:P$30,15,FALSE),"")</f>
        <v>3</v>
      </c>
      <c r="E33" s="5" t="s">
        <v>23</v>
      </c>
      <c r="F33" s="4">
        <f>IFERROR(VLOOKUP(E33,enum!D$4:R$30,13,FALSE),"")</f>
        <v>1</v>
      </c>
      <c r="G33" s="5" t="s">
        <v>31</v>
      </c>
      <c r="H33" s="4">
        <f>IFERROR(VLOOKUP(G33,enum!F$4:T$30,11,FALSE),"")</f>
        <v>0</v>
      </c>
      <c r="I33" s="5" t="s">
        <v>41</v>
      </c>
      <c r="J33" s="4">
        <f>IFERROR(VLOOKUP(I33,enum!H$4:V$30,9,FALSE),"")</f>
        <v>0</v>
      </c>
      <c r="K33" s="5" t="s">
        <v>53</v>
      </c>
      <c r="L33" s="4">
        <f>IFERROR(VLOOKUP(K33,enum!J$4:X$30,7,FALSE),"")</f>
        <v>3</v>
      </c>
      <c r="M33" s="4">
        <v>7</v>
      </c>
      <c r="N33" s="4">
        <v>1</v>
      </c>
      <c r="O33" s="4">
        <v>1</v>
      </c>
      <c r="P33" s="4">
        <v>1</v>
      </c>
      <c r="Q33" s="5" t="s">
        <v>79</v>
      </c>
      <c r="R33" s="4">
        <f>IFERROR(VLOOKUP(Q33,enum!L$4:Q$30,5,FALSE),"")</f>
        <v>0</v>
      </c>
      <c r="S33" s="9">
        <v>0</v>
      </c>
      <c r="T33"/>
    </row>
    <row r="34" spans="2:20" x14ac:dyDescent="0.15">
      <c r="B34" s="15">
        <v>2350</v>
      </c>
      <c r="C34" s="5" t="s">
        <v>17</v>
      </c>
      <c r="D34" s="4">
        <f>IFERROR(VLOOKUP(C34,enum!B$4:P$30,15,FALSE),"")</f>
        <v>4</v>
      </c>
      <c r="E34" s="5" t="s">
        <v>29</v>
      </c>
      <c r="F34" s="4">
        <f>IFERROR(VLOOKUP(E34,enum!D$4:R$30,13,FALSE),"")</f>
        <v>7</v>
      </c>
      <c r="G34" s="5" t="s">
        <v>33</v>
      </c>
      <c r="H34" s="4">
        <f>IFERROR(VLOOKUP(G34,enum!F$4:T$30,11,FALSE),"")</f>
        <v>2</v>
      </c>
      <c r="I34" s="5" t="s">
        <v>41</v>
      </c>
      <c r="J34" s="4">
        <f>IFERROR(VLOOKUP(I34,enum!H$4:V$30,9,FALSE),"")</f>
        <v>0</v>
      </c>
      <c r="K34" s="5" t="s">
        <v>54</v>
      </c>
      <c r="L34" s="4">
        <f>IFERROR(VLOOKUP(K34,enum!J$4:X$30,7,FALSE),"")</f>
        <v>4</v>
      </c>
      <c r="M34" s="4">
        <v>7</v>
      </c>
      <c r="N34" s="4">
        <v>1</v>
      </c>
      <c r="O34" s="4">
        <v>1</v>
      </c>
      <c r="P34" s="4">
        <v>1</v>
      </c>
      <c r="Q34" s="5" t="s">
        <v>79</v>
      </c>
      <c r="R34" s="4">
        <f>IFERROR(VLOOKUP(Q34,enum!L$4:Q$30,5,FALSE),"")</f>
        <v>0</v>
      </c>
      <c r="S34" s="9">
        <v>0</v>
      </c>
      <c r="T34"/>
    </row>
    <row r="35" spans="2:20" x14ac:dyDescent="0.15">
      <c r="B35" s="15">
        <v>2400</v>
      </c>
      <c r="C35" s="5" t="s">
        <v>17</v>
      </c>
      <c r="D35" s="4">
        <f>IFERROR(VLOOKUP(C35,enum!B$4:P$30,15,FALSE),"")</f>
        <v>4</v>
      </c>
      <c r="E35" s="5" t="s">
        <v>29</v>
      </c>
      <c r="F35" s="4">
        <f>IFERROR(VLOOKUP(E35,enum!D$4:R$30,13,FALSE),"")</f>
        <v>7</v>
      </c>
      <c r="G35" s="5" t="s">
        <v>33</v>
      </c>
      <c r="H35" s="4">
        <f>IFERROR(VLOOKUP(G35,enum!F$4:T$30,11,FALSE),"")</f>
        <v>2</v>
      </c>
      <c r="I35" s="5" t="s">
        <v>41</v>
      </c>
      <c r="J35" s="4">
        <f>IFERROR(VLOOKUP(I35,enum!H$4:V$30,9,FALSE),"")</f>
        <v>0</v>
      </c>
      <c r="K35" s="5" t="s">
        <v>54</v>
      </c>
      <c r="L35" s="4">
        <f>IFERROR(VLOOKUP(K35,enum!J$4:X$30,7,FALSE),"")</f>
        <v>4</v>
      </c>
      <c r="M35" s="4">
        <v>7</v>
      </c>
      <c r="N35" s="4">
        <v>1</v>
      </c>
      <c r="O35" s="4">
        <v>1</v>
      </c>
      <c r="P35" s="4">
        <v>1</v>
      </c>
      <c r="Q35" s="5" t="s">
        <v>79</v>
      </c>
      <c r="R35" s="4">
        <f>IFERROR(VLOOKUP(Q35,enum!L$4:Q$30,5,FALSE),"")</f>
        <v>0</v>
      </c>
      <c r="S35" s="9">
        <v>0</v>
      </c>
      <c r="T35"/>
    </row>
    <row r="36" spans="2:20" x14ac:dyDescent="0.15">
      <c r="B36" s="15">
        <v>2450</v>
      </c>
      <c r="C36" s="5" t="s">
        <v>17</v>
      </c>
      <c r="D36" s="4">
        <f>IFERROR(VLOOKUP(C36,enum!B$4:P$30,15,FALSE),"")</f>
        <v>4</v>
      </c>
      <c r="E36" s="5" t="s">
        <v>29</v>
      </c>
      <c r="F36" s="4">
        <f>IFERROR(VLOOKUP(E36,enum!D$4:R$30,13,FALSE),"")</f>
        <v>7</v>
      </c>
      <c r="G36" s="5" t="s">
        <v>33</v>
      </c>
      <c r="H36" s="4">
        <f>IFERROR(VLOOKUP(G36,enum!F$4:T$30,11,FALSE),"")</f>
        <v>2</v>
      </c>
      <c r="I36" s="5" t="s">
        <v>41</v>
      </c>
      <c r="J36" s="4">
        <f>IFERROR(VLOOKUP(I36,enum!H$4:V$30,9,FALSE),"")</f>
        <v>0</v>
      </c>
      <c r="K36" s="5" t="s">
        <v>54</v>
      </c>
      <c r="L36" s="4">
        <f>IFERROR(VLOOKUP(K36,enum!J$4:X$30,7,FALSE),"")</f>
        <v>4</v>
      </c>
      <c r="M36" s="4">
        <v>7</v>
      </c>
      <c r="N36" s="4">
        <v>1</v>
      </c>
      <c r="O36" s="4">
        <v>1</v>
      </c>
      <c r="P36" s="4">
        <v>1</v>
      </c>
      <c r="Q36" s="5" t="s">
        <v>79</v>
      </c>
      <c r="R36" s="4">
        <f>IFERROR(VLOOKUP(Q36,enum!L$4:Q$30,5,FALSE),"")</f>
        <v>0</v>
      </c>
      <c r="S36" s="9">
        <v>0</v>
      </c>
      <c r="T36"/>
    </row>
    <row r="37" spans="2:20" x14ac:dyDescent="0.15">
      <c r="B37" s="15">
        <v>2650</v>
      </c>
      <c r="C37" s="5" t="s">
        <v>15</v>
      </c>
      <c r="D37" s="4">
        <f>IFERROR(VLOOKUP(C37,enum!B$4:P$30,15,FALSE),"")</f>
        <v>2</v>
      </c>
      <c r="E37" s="5" t="s">
        <v>24</v>
      </c>
      <c r="F37" s="4">
        <f>IFERROR(VLOOKUP(E37,enum!D$4:R$30,13,FALSE),"")</f>
        <v>2</v>
      </c>
      <c r="G37" s="5" t="s">
        <v>33</v>
      </c>
      <c r="H37" s="4">
        <f>IFERROR(VLOOKUP(G37,enum!F$4:T$30,11,FALSE),"")</f>
        <v>2</v>
      </c>
      <c r="I37" s="5" t="s">
        <v>41</v>
      </c>
      <c r="J37" s="4">
        <f>IFERROR(VLOOKUP(I37,enum!H$4:V$30,9,FALSE),"")</f>
        <v>0</v>
      </c>
      <c r="K37" s="5" t="s">
        <v>52</v>
      </c>
      <c r="L37" s="4">
        <f>IFERROR(VLOOKUP(K37,enum!J$4:X$30,7,FALSE),"")</f>
        <v>2</v>
      </c>
      <c r="M37" s="4">
        <v>7</v>
      </c>
      <c r="N37" s="4">
        <v>1</v>
      </c>
      <c r="O37" s="4">
        <v>1</v>
      </c>
      <c r="P37" s="4">
        <v>1</v>
      </c>
      <c r="Q37" s="5" t="s">
        <v>79</v>
      </c>
      <c r="R37" s="4">
        <f>IFERROR(VLOOKUP(Q37,enum!L$4:Q$30,5,FALSE),"")</f>
        <v>0</v>
      </c>
      <c r="S37" s="9">
        <v>0</v>
      </c>
      <c r="T37"/>
    </row>
    <row r="38" spans="2:20" x14ac:dyDescent="0.15">
      <c r="B38" s="15">
        <v>2700</v>
      </c>
      <c r="C38" s="5" t="s">
        <v>15</v>
      </c>
      <c r="D38" s="4">
        <f>IFERROR(VLOOKUP(C38,enum!B$4:P$30,15,FALSE),"")</f>
        <v>2</v>
      </c>
      <c r="E38" s="5" t="s">
        <v>24</v>
      </c>
      <c r="F38" s="4">
        <f>IFERROR(VLOOKUP(E38,enum!D$4:R$30,13,FALSE),"")</f>
        <v>2</v>
      </c>
      <c r="G38" s="5" t="s">
        <v>33</v>
      </c>
      <c r="H38" s="4">
        <f>IFERROR(VLOOKUP(G38,enum!F$4:T$30,11,FALSE),"")</f>
        <v>2</v>
      </c>
      <c r="I38" s="5" t="s">
        <v>41</v>
      </c>
      <c r="J38" s="4">
        <f>IFERROR(VLOOKUP(I38,enum!H$4:V$30,9,FALSE),"")</f>
        <v>0</v>
      </c>
      <c r="K38" s="5" t="s">
        <v>52</v>
      </c>
      <c r="L38" s="4">
        <f>IFERROR(VLOOKUP(K38,enum!J$4:X$30,7,FALSE),"")</f>
        <v>2</v>
      </c>
      <c r="M38" s="4">
        <v>7</v>
      </c>
      <c r="N38" s="4">
        <v>1</v>
      </c>
      <c r="O38" s="4">
        <v>1</v>
      </c>
      <c r="P38" s="4">
        <v>1</v>
      </c>
      <c r="Q38" s="5" t="s">
        <v>79</v>
      </c>
      <c r="R38" s="4">
        <f>IFERROR(VLOOKUP(Q38,enum!L$4:Q$30,5,FALSE),"")</f>
        <v>0</v>
      </c>
      <c r="S38" s="9">
        <v>0</v>
      </c>
      <c r="T38"/>
    </row>
    <row r="39" spans="2:20" x14ac:dyDescent="0.15">
      <c r="B39" s="15">
        <v>2750</v>
      </c>
      <c r="C39" s="5" t="s">
        <v>15</v>
      </c>
      <c r="D39" s="4">
        <f>IFERROR(VLOOKUP(C39,enum!B$4:P$30,15,FALSE),"")</f>
        <v>2</v>
      </c>
      <c r="E39" s="5" t="s">
        <v>24</v>
      </c>
      <c r="F39" s="4">
        <f>IFERROR(VLOOKUP(E39,enum!D$4:R$30,13,FALSE),"")</f>
        <v>2</v>
      </c>
      <c r="G39" s="5" t="s">
        <v>33</v>
      </c>
      <c r="H39" s="4">
        <f>IFERROR(VLOOKUP(G39,enum!F$4:T$30,11,FALSE),"")</f>
        <v>2</v>
      </c>
      <c r="I39" s="5" t="s">
        <v>41</v>
      </c>
      <c r="J39" s="4">
        <f>IFERROR(VLOOKUP(I39,enum!H$4:V$30,9,FALSE),"")</f>
        <v>0</v>
      </c>
      <c r="K39" s="5" t="s">
        <v>52</v>
      </c>
      <c r="L39" s="4">
        <f>IFERROR(VLOOKUP(K39,enum!J$4:X$30,7,FALSE),"")</f>
        <v>2</v>
      </c>
      <c r="M39" s="4">
        <v>7</v>
      </c>
      <c r="N39" s="4">
        <v>1</v>
      </c>
      <c r="O39" s="4">
        <v>1</v>
      </c>
      <c r="P39" s="4">
        <v>1</v>
      </c>
      <c r="Q39" s="5" t="s">
        <v>79</v>
      </c>
      <c r="R39" s="4">
        <f>IFERROR(VLOOKUP(Q39,enum!L$4:Q$30,5,FALSE),"")</f>
        <v>0</v>
      </c>
      <c r="S39" s="9">
        <v>0</v>
      </c>
      <c r="T39"/>
    </row>
    <row r="40" spans="2:20" x14ac:dyDescent="0.15">
      <c r="B40" s="15">
        <v>2900</v>
      </c>
      <c r="C40" s="5" t="s">
        <v>21</v>
      </c>
      <c r="D40" s="4">
        <f>IFERROR(VLOOKUP(C40,enum!B$4:P$30,15,FALSE),"")</f>
        <v>8</v>
      </c>
      <c r="E40" s="5" t="s">
        <v>29</v>
      </c>
      <c r="F40" s="4">
        <f>IFERROR(VLOOKUP(E40,enum!D$4:R$30,13,FALSE),"")</f>
        <v>7</v>
      </c>
      <c r="G40" s="5" t="s">
        <v>39</v>
      </c>
      <c r="H40" s="4">
        <f>IFERROR(VLOOKUP(G40,enum!F$4:T$30,11,FALSE),"")</f>
        <v>8</v>
      </c>
      <c r="I40" s="5" t="s">
        <v>42</v>
      </c>
      <c r="J40" s="4">
        <f>IFERROR(VLOOKUP(I40,enum!H$4:V$30,9,FALSE),"")</f>
        <v>1</v>
      </c>
      <c r="K40" s="5" t="s">
        <v>75</v>
      </c>
      <c r="L40" s="4">
        <f>IFERROR(VLOOKUP(K40,enum!J$4:X$30,7,FALSE),"")</f>
        <v>25</v>
      </c>
      <c r="M40" s="4">
        <v>5</v>
      </c>
      <c r="N40" s="4">
        <v>20</v>
      </c>
      <c r="O40" s="4">
        <v>0</v>
      </c>
      <c r="P40" s="4">
        <v>20</v>
      </c>
      <c r="Q40" s="5" t="s">
        <v>79</v>
      </c>
      <c r="R40" s="4">
        <f>IFERROR(VLOOKUP(Q40,enum!L$4:Q$30,5,FALSE),"")</f>
        <v>0</v>
      </c>
      <c r="S40" s="9">
        <v>0</v>
      </c>
      <c r="T40"/>
    </row>
    <row r="41" spans="2:20" x14ac:dyDescent="0.15">
      <c r="B41" s="15">
        <v>2950</v>
      </c>
      <c r="C41" s="5" t="s">
        <v>13</v>
      </c>
      <c r="D41" s="4">
        <f>IFERROR(VLOOKUP(C41,enum!B$4:P$30,15,FALSE),"")</f>
        <v>0</v>
      </c>
      <c r="E41" s="5" t="s">
        <v>24</v>
      </c>
      <c r="F41" s="4">
        <f>IFERROR(VLOOKUP(E41,enum!D$4:R$30,13,FALSE),"")</f>
        <v>2</v>
      </c>
      <c r="G41" s="5" t="s">
        <v>35</v>
      </c>
      <c r="H41" s="4">
        <f>IFERROR(VLOOKUP(G41,enum!F$4:T$30,11,FALSE),"")</f>
        <v>4</v>
      </c>
      <c r="I41" s="5" t="s">
        <v>41</v>
      </c>
      <c r="J41" s="4">
        <f>IFERROR(VLOOKUP(I41,enum!H$4:V$30,9,FALSE),"")</f>
        <v>0</v>
      </c>
      <c r="K41" s="5" t="s">
        <v>50</v>
      </c>
      <c r="L41" s="4">
        <f>IFERROR(VLOOKUP(K41,enum!J$4:X$30,7,FALSE),"")</f>
        <v>0</v>
      </c>
      <c r="M41" s="4">
        <v>7</v>
      </c>
      <c r="N41" s="4">
        <v>1</v>
      </c>
      <c r="O41" s="4">
        <v>1</v>
      </c>
      <c r="P41" s="4">
        <v>1</v>
      </c>
      <c r="Q41" s="5" t="s">
        <v>79</v>
      </c>
      <c r="R41" s="4">
        <f>IFERROR(VLOOKUP(Q41,enum!L$4:Q$30,5,FALSE),"")</f>
        <v>0</v>
      </c>
      <c r="S41" s="9">
        <v>0</v>
      </c>
      <c r="T41"/>
    </row>
    <row r="42" spans="2:20" x14ac:dyDescent="0.15">
      <c r="B42" s="15">
        <v>3000</v>
      </c>
      <c r="C42" s="5" t="s">
        <v>21</v>
      </c>
      <c r="D42" s="4">
        <f>IFERROR(VLOOKUP(C42,enum!B$4:P$30,15,FALSE),"")</f>
        <v>8</v>
      </c>
      <c r="E42" s="5" t="s">
        <v>23</v>
      </c>
      <c r="F42" s="4">
        <f>IFERROR(VLOOKUP(E42,enum!D$4:R$30,13,FALSE),"")</f>
        <v>1</v>
      </c>
      <c r="G42" s="5" t="s">
        <v>39</v>
      </c>
      <c r="H42" s="4">
        <f>IFERROR(VLOOKUP(G42,enum!F$4:T$30,11,FALSE),"")</f>
        <v>8</v>
      </c>
      <c r="I42" s="5" t="s">
        <v>42</v>
      </c>
      <c r="J42" s="4">
        <f>IFERROR(VLOOKUP(I42,enum!H$4:V$30,9,FALSE),"")</f>
        <v>1</v>
      </c>
      <c r="K42" s="5" t="s">
        <v>75</v>
      </c>
      <c r="L42" s="4">
        <f>IFERROR(VLOOKUP(K42,enum!J$4:X$30,7,FALSE),"")</f>
        <v>25</v>
      </c>
      <c r="M42" s="4">
        <v>5</v>
      </c>
      <c r="N42" s="4">
        <v>20</v>
      </c>
      <c r="O42" s="4">
        <v>0</v>
      </c>
      <c r="P42" s="4">
        <v>20</v>
      </c>
      <c r="Q42" s="5" t="s">
        <v>79</v>
      </c>
      <c r="R42" s="4">
        <f>IFERROR(VLOOKUP(Q42,enum!L$4:Q$30,5,FALSE),"")</f>
        <v>0</v>
      </c>
      <c r="S42" s="9">
        <v>0</v>
      </c>
      <c r="T42"/>
    </row>
    <row r="43" spans="2:20" x14ac:dyDescent="0.15">
      <c r="B43" s="15">
        <v>3000</v>
      </c>
      <c r="C43" s="5" t="s">
        <v>13</v>
      </c>
      <c r="D43" s="4">
        <f>IFERROR(VLOOKUP(C43,enum!B$4:P$30,15,FALSE),"")</f>
        <v>0</v>
      </c>
      <c r="E43" s="5" t="s">
        <v>24</v>
      </c>
      <c r="F43" s="4">
        <f>IFERROR(VLOOKUP(E43,enum!D$4:R$30,13,FALSE),"")</f>
        <v>2</v>
      </c>
      <c r="G43" s="5" t="s">
        <v>35</v>
      </c>
      <c r="H43" s="4">
        <f>IFERROR(VLOOKUP(G43,enum!F$4:T$30,11,FALSE),"")</f>
        <v>4</v>
      </c>
      <c r="I43" s="5" t="s">
        <v>41</v>
      </c>
      <c r="J43" s="4">
        <f>IFERROR(VLOOKUP(I43,enum!H$4:V$30,9,FALSE),"")</f>
        <v>0</v>
      </c>
      <c r="K43" s="5" t="s">
        <v>50</v>
      </c>
      <c r="L43" s="4">
        <f>IFERROR(VLOOKUP(K43,enum!J$4:X$30,7,FALSE),"")</f>
        <v>0</v>
      </c>
      <c r="M43" s="4">
        <v>7</v>
      </c>
      <c r="N43" s="4">
        <v>1</v>
      </c>
      <c r="O43" s="4">
        <v>1</v>
      </c>
      <c r="P43" s="4">
        <v>1</v>
      </c>
      <c r="Q43" s="5" t="s">
        <v>79</v>
      </c>
      <c r="R43" s="4">
        <f>IFERROR(VLOOKUP(Q43,enum!L$4:Q$30,5,FALSE),"")</f>
        <v>0</v>
      </c>
      <c r="S43" s="9">
        <v>0</v>
      </c>
      <c r="T43"/>
    </row>
    <row r="44" spans="2:20" x14ac:dyDescent="0.15">
      <c r="B44" s="15">
        <v>3050</v>
      </c>
      <c r="C44" s="5" t="s">
        <v>13</v>
      </c>
      <c r="D44" s="4">
        <f>IFERROR(VLOOKUP(C44,enum!B$4:P$30,15,FALSE),"")</f>
        <v>0</v>
      </c>
      <c r="E44" s="5" t="s">
        <v>24</v>
      </c>
      <c r="F44" s="4">
        <f>IFERROR(VLOOKUP(E44,enum!D$4:R$30,13,FALSE),"")</f>
        <v>2</v>
      </c>
      <c r="G44" s="5" t="s">
        <v>35</v>
      </c>
      <c r="H44" s="4">
        <f>IFERROR(VLOOKUP(G44,enum!F$4:T$30,11,FALSE),"")</f>
        <v>4</v>
      </c>
      <c r="I44" s="5" t="s">
        <v>41</v>
      </c>
      <c r="J44" s="4">
        <f>IFERROR(VLOOKUP(I44,enum!H$4:V$30,9,FALSE),"")</f>
        <v>0</v>
      </c>
      <c r="K44" s="5" t="s">
        <v>50</v>
      </c>
      <c r="L44" s="4">
        <f>IFERROR(VLOOKUP(K44,enum!J$4:X$30,7,FALSE),"")</f>
        <v>0</v>
      </c>
      <c r="M44" s="4">
        <v>7</v>
      </c>
      <c r="N44" s="4">
        <v>1</v>
      </c>
      <c r="O44" s="4">
        <v>1</v>
      </c>
      <c r="P44" s="4">
        <v>1</v>
      </c>
      <c r="Q44" s="5" t="s">
        <v>79</v>
      </c>
      <c r="R44" s="4">
        <f>IFERROR(VLOOKUP(Q44,enum!L$4:Q$30,5,FALSE),"")</f>
        <v>0</v>
      </c>
      <c r="S44" s="9">
        <v>0</v>
      </c>
      <c r="T44"/>
    </row>
    <row r="45" spans="2:20" x14ac:dyDescent="0.15">
      <c r="B45" s="15">
        <v>3100</v>
      </c>
      <c r="C45" s="5" t="s">
        <v>21</v>
      </c>
      <c r="D45" s="4">
        <f>IFERROR(VLOOKUP(C45,enum!B$4:P$30,15,FALSE),"")</f>
        <v>8</v>
      </c>
      <c r="E45" s="5" t="s">
        <v>26</v>
      </c>
      <c r="F45" s="4">
        <f>IFERROR(VLOOKUP(E45,enum!D$4:R$30,13,FALSE),"")</f>
        <v>4</v>
      </c>
      <c r="G45" s="5" t="s">
        <v>39</v>
      </c>
      <c r="H45" s="4">
        <f>IFERROR(VLOOKUP(G45,enum!F$4:T$30,11,FALSE),"")</f>
        <v>8</v>
      </c>
      <c r="I45" s="5" t="s">
        <v>42</v>
      </c>
      <c r="J45" s="4">
        <f>IFERROR(VLOOKUP(I45,enum!H$4:V$30,9,FALSE),"")</f>
        <v>1</v>
      </c>
      <c r="K45" s="5" t="s">
        <v>75</v>
      </c>
      <c r="L45" s="4">
        <f>IFERROR(VLOOKUP(K45,enum!J$4:X$30,7,FALSE),"")</f>
        <v>25</v>
      </c>
      <c r="M45" s="4">
        <v>5</v>
      </c>
      <c r="N45" s="4">
        <v>20</v>
      </c>
      <c r="O45" s="4">
        <v>0</v>
      </c>
      <c r="P45" s="4">
        <v>20</v>
      </c>
      <c r="Q45" s="5" t="s">
        <v>79</v>
      </c>
      <c r="R45" s="4">
        <f>IFERROR(VLOOKUP(Q45,enum!L$4:Q$30,5,FALSE),"")</f>
        <v>0</v>
      </c>
      <c r="S45" s="9">
        <v>0</v>
      </c>
      <c r="T45"/>
    </row>
    <row r="46" spans="2:20" x14ac:dyDescent="0.15">
      <c r="B46" s="15">
        <v>3150</v>
      </c>
      <c r="C46" s="5" t="s">
        <v>18</v>
      </c>
      <c r="D46" s="4">
        <f>IFERROR(VLOOKUP(C46,enum!B$4:P$30,15,FALSE),"")</f>
        <v>5</v>
      </c>
      <c r="E46" s="5" t="s">
        <v>26</v>
      </c>
      <c r="F46" s="4">
        <f>IFERROR(VLOOKUP(E46,enum!D$4:R$30,13,FALSE),"")</f>
        <v>4</v>
      </c>
      <c r="G46" s="5" t="s">
        <v>35</v>
      </c>
      <c r="H46" s="4">
        <f>IFERROR(VLOOKUP(G46,enum!F$4:T$30,11,FALSE),"")</f>
        <v>4</v>
      </c>
      <c r="I46" s="5" t="s">
        <v>41</v>
      </c>
      <c r="J46" s="4">
        <f>IFERROR(VLOOKUP(I46,enum!H$4:V$30,9,FALSE),"")</f>
        <v>0</v>
      </c>
      <c r="K46" s="5" t="s">
        <v>55</v>
      </c>
      <c r="L46" s="4">
        <f>IFERROR(VLOOKUP(K46,enum!J$4:X$30,7,FALSE),"")</f>
        <v>5</v>
      </c>
      <c r="M46" s="4">
        <v>7</v>
      </c>
      <c r="N46" s="4">
        <v>1</v>
      </c>
      <c r="O46" s="4">
        <v>1</v>
      </c>
      <c r="P46" s="4">
        <v>1</v>
      </c>
      <c r="Q46" s="5" t="s">
        <v>79</v>
      </c>
      <c r="R46" s="4">
        <f>IFERROR(VLOOKUP(Q46,enum!L$4:Q$30,5,FALSE),"")</f>
        <v>0</v>
      </c>
      <c r="S46" s="9">
        <v>0</v>
      </c>
      <c r="T46"/>
    </row>
    <row r="47" spans="2:20" x14ac:dyDescent="0.15">
      <c r="B47" s="15">
        <v>3200</v>
      </c>
      <c r="C47" s="5" t="s">
        <v>18</v>
      </c>
      <c r="D47" s="4">
        <f>IFERROR(VLOOKUP(C47,enum!B$4:P$30,15,FALSE),"")</f>
        <v>5</v>
      </c>
      <c r="E47" s="5" t="s">
        <v>26</v>
      </c>
      <c r="F47" s="4">
        <f>IFERROR(VLOOKUP(E47,enum!D$4:R$30,13,FALSE),"")</f>
        <v>4</v>
      </c>
      <c r="G47" s="5" t="s">
        <v>35</v>
      </c>
      <c r="H47" s="4">
        <f>IFERROR(VLOOKUP(G47,enum!F$4:T$30,11,FALSE),"")</f>
        <v>4</v>
      </c>
      <c r="I47" s="5" t="s">
        <v>41</v>
      </c>
      <c r="J47" s="4">
        <f>IFERROR(VLOOKUP(I47,enum!H$4:V$30,9,FALSE),"")</f>
        <v>0</v>
      </c>
      <c r="K47" s="5" t="s">
        <v>55</v>
      </c>
      <c r="L47" s="4">
        <f>IFERROR(VLOOKUP(K47,enum!J$4:X$30,7,FALSE),"")</f>
        <v>5</v>
      </c>
      <c r="M47" s="4">
        <v>7</v>
      </c>
      <c r="N47" s="4">
        <v>1</v>
      </c>
      <c r="O47" s="4">
        <v>1</v>
      </c>
      <c r="P47" s="4">
        <v>1</v>
      </c>
      <c r="Q47" s="5" t="s">
        <v>79</v>
      </c>
      <c r="R47" s="4">
        <f>IFERROR(VLOOKUP(Q47,enum!L$4:Q$30,5,FALSE),"")</f>
        <v>0</v>
      </c>
      <c r="S47" s="9">
        <v>0</v>
      </c>
      <c r="T47"/>
    </row>
    <row r="48" spans="2:20" x14ac:dyDescent="0.15">
      <c r="B48" s="15">
        <v>3250</v>
      </c>
      <c r="C48" s="5" t="s">
        <v>18</v>
      </c>
      <c r="D48" s="4">
        <f>IFERROR(VLOOKUP(C48,enum!B$4:P$30,15,FALSE),"")</f>
        <v>5</v>
      </c>
      <c r="E48" s="5" t="s">
        <v>26</v>
      </c>
      <c r="F48" s="4">
        <f>IFERROR(VLOOKUP(E48,enum!D$4:R$30,13,FALSE),"")</f>
        <v>4</v>
      </c>
      <c r="G48" s="5" t="s">
        <v>35</v>
      </c>
      <c r="H48" s="4">
        <f>IFERROR(VLOOKUP(G48,enum!F$4:T$30,11,FALSE),"")</f>
        <v>4</v>
      </c>
      <c r="I48" s="5" t="s">
        <v>41</v>
      </c>
      <c r="J48" s="4">
        <f>IFERROR(VLOOKUP(I48,enum!H$4:V$30,9,FALSE),"")</f>
        <v>0</v>
      </c>
      <c r="K48" s="5" t="s">
        <v>55</v>
      </c>
      <c r="L48" s="4">
        <f>IFERROR(VLOOKUP(K48,enum!J$4:X$30,7,FALSE),"")</f>
        <v>5</v>
      </c>
      <c r="M48" s="4">
        <v>7</v>
      </c>
      <c r="N48" s="4">
        <v>1</v>
      </c>
      <c r="O48" s="4">
        <v>1</v>
      </c>
      <c r="P48" s="4">
        <v>1</v>
      </c>
      <c r="Q48" s="5" t="s">
        <v>79</v>
      </c>
      <c r="R48" s="4">
        <f>IFERROR(VLOOKUP(Q48,enum!L$4:Q$30,5,FALSE),"")</f>
        <v>0</v>
      </c>
      <c r="S48" s="9">
        <v>0</v>
      </c>
      <c r="T48"/>
    </row>
    <row r="49" spans="2:20" x14ac:dyDescent="0.15">
      <c r="B49" s="15">
        <v>3550</v>
      </c>
      <c r="C49" s="5" t="s">
        <v>20</v>
      </c>
      <c r="D49" s="4">
        <f>IFERROR(VLOOKUP(C49,enum!B$4:P$30,15,FALSE),"")</f>
        <v>7</v>
      </c>
      <c r="E49" s="5" t="s">
        <v>26</v>
      </c>
      <c r="F49" s="4">
        <f>IFERROR(VLOOKUP(E49,enum!D$4:R$30,13,FALSE),"")</f>
        <v>4</v>
      </c>
      <c r="G49" s="5" t="s">
        <v>38</v>
      </c>
      <c r="H49" s="4">
        <f>IFERROR(VLOOKUP(G49,enum!F$4:T$30,11,FALSE),"")</f>
        <v>7</v>
      </c>
      <c r="I49" s="5" t="s">
        <v>46</v>
      </c>
      <c r="J49" s="4">
        <f>IFERROR(VLOOKUP(I49,enum!H$4:V$30,9,FALSE),"")</f>
        <v>5</v>
      </c>
      <c r="K49" s="5" t="s">
        <v>55</v>
      </c>
      <c r="L49" s="4">
        <f>IFERROR(VLOOKUP(K49,enum!J$4:X$30,7,FALSE),"")</f>
        <v>5</v>
      </c>
      <c r="M49" s="4">
        <v>5</v>
      </c>
      <c r="N49" s="4">
        <v>1</v>
      </c>
      <c r="O49" s="4">
        <v>1</v>
      </c>
      <c r="P49" s="4">
        <v>20</v>
      </c>
      <c r="Q49" s="5" t="s">
        <v>79</v>
      </c>
      <c r="R49" s="4">
        <f>IFERROR(VLOOKUP(Q49,enum!L$4:Q$30,5,FALSE),"")</f>
        <v>0</v>
      </c>
      <c r="S49" s="9">
        <v>0</v>
      </c>
      <c r="T49"/>
    </row>
    <row r="50" spans="2:20" x14ac:dyDescent="0.15">
      <c r="B50" s="15">
        <v>3550</v>
      </c>
      <c r="C50" s="5" t="s">
        <v>13</v>
      </c>
      <c r="D50" s="4">
        <f>IFERROR(VLOOKUP(C50,enum!B$4:P$30,15,FALSE),"")</f>
        <v>0</v>
      </c>
      <c r="E50" s="5" t="s">
        <v>29</v>
      </c>
      <c r="F50" s="4">
        <f>IFERROR(VLOOKUP(E50,enum!D$4:R$30,13,FALSE),"")</f>
        <v>7</v>
      </c>
      <c r="G50" s="5" t="s">
        <v>32</v>
      </c>
      <c r="H50" s="4">
        <f>IFERROR(VLOOKUP(G50,enum!F$4:T$30,11,FALSE),"")</f>
        <v>1</v>
      </c>
      <c r="I50" s="5" t="s">
        <v>41</v>
      </c>
      <c r="J50" s="4">
        <f>IFERROR(VLOOKUP(I50,enum!H$4:V$30,9,FALSE),"")</f>
        <v>0</v>
      </c>
      <c r="K50" s="5" t="s">
        <v>50</v>
      </c>
      <c r="L50" s="4">
        <f>IFERROR(VLOOKUP(K50,enum!J$4:X$30,7,FALSE),"")</f>
        <v>0</v>
      </c>
      <c r="M50" s="4">
        <v>7</v>
      </c>
      <c r="N50" s="4">
        <v>1</v>
      </c>
      <c r="O50" s="4">
        <v>1</v>
      </c>
      <c r="P50" s="4">
        <v>1</v>
      </c>
      <c r="Q50" s="5" t="s">
        <v>79</v>
      </c>
      <c r="R50" s="4">
        <f>IFERROR(VLOOKUP(Q50,enum!L$4:Q$30,5,FALSE),"")</f>
        <v>0</v>
      </c>
      <c r="S50" s="9">
        <v>0</v>
      </c>
      <c r="T50"/>
    </row>
    <row r="51" spans="2:20" x14ac:dyDescent="0.15">
      <c r="B51" s="15">
        <v>3600</v>
      </c>
      <c r="C51" s="5" t="s">
        <v>13</v>
      </c>
      <c r="D51" s="4">
        <f>IFERROR(VLOOKUP(C51,enum!B$4:P$30,15,FALSE),"")</f>
        <v>0</v>
      </c>
      <c r="E51" s="5" t="s">
        <v>29</v>
      </c>
      <c r="F51" s="4">
        <f>IFERROR(VLOOKUP(E51,enum!D$4:R$30,13,FALSE),"")</f>
        <v>7</v>
      </c>
      <c r="G51" s="5" t="s">
        <v>32</v>
      </c>
      <c r="H51" s="4">
        <f>IFERROR(VLOOKUP(G51,enum!F$4:T$30,11,FALSE),"")</f>
        <v>1</v>
      </c>
      <c r="I51" s="5" t="s">
        <v>41</v>
      </c>
      <c r="J51" s="4">
        <f>IFERROR(VLOOKUP(I51,enum!H$4:V$30,9,FALSE),"")</f>
        <v>0</v>
      </c>
      <c r="K51" s="5" t="s">
        <v>50</v>
      </c>
      <c r="L51" s="4">
        <f>IFERROR(VLOOKUP(K51,enum!J$4:X$30,7,FALSE),"")</f>
        <v>0</v>
      </c>
      <c r="M51" s="4">
        <v>7</v>
      </c>
      <c r="N51" s="4">
        <v>1</v>
      </c>
      <c r="O51" s="4">
        <v>1</v>
      </c>
      <c r="P51" s="4">
        <v>1</v>
      </c>
      <c r="Q51" s="5" t="s">
        <v>79</v>
      </c>
      <c r="R51" s="4">
        <f>IFERROR(VLOOKUP(Q51,enum!L$4:Q$30,5,FALSE),"")</f>
        <v>0</v>
      </c>
      <c r="S51" s="9">
        <v>0</v>
      </c>
      <c r="T51"/>
    </row>
    <row r="52" spans="2:20" x14ac:dyDescent="0.15">
      <c r="B52" s="15">
        <v>3650</v>
      </c>
      <c r="C52" s="5" t="s">
        <v>13</v>
      </c>
      <c r="D52" s="4">
        <f>IFERROR(VLOOKUP(C52,enum!B$4:P$30,15,FALSE),"")</f>
        <v>0</v>
      </c>
      <c r="E52" s="5" t="s">
        <v>29</v>
      </c>
      <c r="F52" s="4">
        <f>IFERROR(VLOOKUP(E52,enum!D$4:R$30,13,FALSE),"")</f>
        <v>7</v>
      </c>
      <c r="G52" s="5" t="s">
        <v>32</v>
      </c>
      <c r="H52" s="4">
        <f>IFERROR(VLOOKUP(G52,enum!F$4:T$30,11,FALSE),"")</f>
        <v>1</v>
      </c>
      <c r="I52" s="5" t="s">
        <v>41</v>
      </c>
      <c r="J52" s="4">
        <f>IFERROR(VLOOKUP(I52,enum!H$4:V$30,9,FALSE),"")</f>
        <v>0</v>
      </c>
      <c r="K52" s="5" t="s">
        <v>50</v>
      </c>
      <c r="L52" s="4">
        <f>IFERROR(VLOOKUP(K52,enum!J$4:X$30,7,FALSE),"")</f>
        <v>0</v>
      </c>
      <c r="M52" s="4">
        <v>7</v>
      </c>
      <c r="N52" s="4">
        <v>1</v>
      </c>
      <c r="O52" s="4">
        <v>1</v>
      </c>
      <c r="P52" s="4">
        <v>1</v>
      </c>
      <c r="Q52" s="5" t="s">
        <v>79</v>
      </c>
      <c r="R52" s="4">
        <f>IFERROR(VLOOKUP(Q52,enum!L$4:Q$30,5,FALSE),"")</f>
        <v>0</v>
      </c>
      <c r="S52" s="9">
        <v>0</v>
      </c>
      <c r="T52"/>
    </row>
    <row r="53" spans="2:20" x14ac:dyDescent="0.15">
      <c r="B53" s="15">
        <v>3750</v>
      </c>
      <c r="C53" s="5" t="s">
        <v>13</v>
      </c>
      <c r="D53" s="4">
        <f>IFERROR(VLOOKUP(C53,enum!B$4:P$30,15,FALSE),"")</f>
        <v>0</v>
      </c>
      <c r="E53" s="5" t="s">
        <v>29</v>
      </c>
      <c r="F53" s="4">
        <f>IFERROR(VLOOKUP(E53,enum!D$4:R$30,13,FALSE),"")</f>
        <v>7</v>
      </c>
      <c r="G53" s="5" t="s">
        <v>35</v>
      </c>
      <c r="H53" s="4">
        <f>IFERROR(VLOOKUP(G53,enum!F$4:T$30,11,FALSE),"")</f>
        <v>4</v>
      </c>
      <c r="I53" s="5" t="s">
        <v>41</v>
      </c>
      <c r="J53" s="4">
        <f>IFERROR(VLOOKUP(I53,enum!H$4:V$30,9,FALSE),"")</f>
        <v>0</v>
      </c>
      <c r="K53" s="5" t="s">
        <v>50</v>
      </c>
      <c r="L53" s="4">
        <f>IFERROR(VLOOKUP(K53,enum!J$4:X$30,7,FALSE),"")</f>
        <v>0</v>
      </c>
      <c r="M53" s="4">
        <v>7</v>
      </c>
      <c r="N53" s="4">
        <v>1</v>
      </c>
      <c r="O53" s="4">
        <v>1</v>
      </c>
      <c r="P53" s="4">
        <v>1</v>
      </c>
      <c r="Q53" s="5" t="s">
        <v>79</v>
      </c>
      <c r="R53" s="4">
        <f>IFERROR(VLOOKUP(Q53,enum!L$4:Q$30,5,FALSE),"")</f>
        <v>0</v>
      </c>
      <c r="S53" s="9">
        <v>0</v>
      </c>
      <c r="T53"/>
    </row>
    <row r="54" spans="2:20" x14ac:dyDescent="0.15">
      <c r="B54" s="15">
        <v>3800</v>
      </c>
      <c r="C54" s="5" t="s">
        <v>13</v>
      </c>
      <c r="D54" s="4">
        <f>IFERROR(VLOOKUP(C54,enum!B$4:P$30,15,FALSE),"")</f>
        <v>0</v>
      </c>
      <c r="E54" s="5" t="s">
        <v>29</v>
      </c>
      <c r="F54" s="4">
        <f>IFERROR(VLOOKUP(E54,enum!D$4:R$30,13,FALSE),"")</f>
        <v>7</v>
      </c>
      <c r="G54" s="5" t="s">
        <v>35</v>
      </c>
      <c r="H54" s="4">
        <f>IFERROR(VLOOKUP(G54,enum!F$4:T$30,11,FALSE),"")</f>
        <v>4</v>
      </c>
      <c r="I54" s="5" t="s">
        <v>41</v>
      </c>
      <c r="J54" s="4">
        <f>IFERROR(VLOOKUP(I54,enum!H$4:V$30,9,FALSE),"")</f>
        <v>0</v>
      </c>
      <c r="K54" s="5" t="s">
        <v>50</v>
      </c>
      <c r="L54" s="4">
        <f>IFERROR(VLOOKUP(K54,enum!J$4:X$30,7,FALSE),"")</f>
        <v>0</v>
      </c>
      <c r="M54" s="4">
        <v>7</v>
      </c>
      <c r="N54" s="4">
        <v>1</v>
      </c>
      <c r="O54" s="4">
        <v>1</v>
      </c>
      <c r="P54" s="4">
        <v>1</v>
      </c>
      <c r="Q54" s="5" t="s">
        <v>79</v>
      </c>
      <c r="R54" s="4">
        <f>IFERROR(VLOOKUP(Q54,enum!L$4:Q$30,5,FALSE),"")</f>
        <v>0</v>
      </c>
      <c r="S54" s="9">
        <v>0</v>
      </c>
      <c r="T54"/>
    </row>
    <row r="55" spans="2:20" x14ac:dyDescent="0.15">
      <c r="B55" s="15">
        <v>3800</v>
      </c>
      <c r="C55" s="5" t="s">
        <v>20</v>
      </c>
      <c r="D55" s="4">
        <f>IFERROR(VLOOKUP(C55,enum!B$4:P$30,15,FALSE),"")</f>
        <v>7</v>
      </c>
      <c r="E55" s="5" t="s">
        <v>26</v>
      </c>
      <c r="F55" s="4">
        <f>IFERROR(VLOOKUP(E55,enum!D$4:R$30,13,FALSE),"")</f>
        <v>4</v>
      </c>
      <c r="G55" s="5" t="s">
        <v>38</v>
      </c>
      <c r="H55" s="4">
        <f>IFERROR(VLOOKUP(G55,enum!F$4:T$30,11,FALSE),"")</f>
        <v>7</v>
      </c>
      <c r="I55" s="5" t="s">
        <v>46</v>
      </c>
      <c r="J55" s="4">
        <f>IFERROR(VLOOKUP(I55,enum!H$4:V$30,9,FALSE),"")</f>
        <v>5</v>
      </c>
      <c r="K55" s="5" t="s">
        <v>54</v>
      </c>
      <c r="L55" s="4">
        <f>IFERROR(VLOOKUP(K55,enum!J$4:X$30,7,FALSE),"")</f>
        <v>4</v>
      </c>
      <c r="M55" s="4">
        <v>5</v>
      </c>
      <c r="N55" s="4">
        <v>1</v>
      </c>
      <c r="O55" s="4">
        <v>1</v>
      </c>
      <c r="P55" s="4">
        <v>20</v>
      </c>
      <c r="Q55" s="5" t="s">
        <v>79</v>
      </c>
      <c r="R55" s="4">
        <f>IFERROR(VLOOKUP(Q55,enum!L$4:Q$30,5,FALSE),"")</f>
        <v>0</v>
      </c>
      <c r="S55" s="9">
        <v>0</v>
      </c>
      <c r="T55"/>
    </row>
    <row r="56" spans="2:20" x14ac:dyDescent="0.15">
      <c r="B56" s="15">
        <v>3850</v>
      </c>
      <c r="C56" s="5" t="s">
        <v>13</v>
      </c>
      <c r="D56" s="4">
        <f>IFERROR(VLOOKUP(C56,enum!B$4:P$30,15,FALSE),"")</f>
        <v>0</v>
      </c>
      <c r="E56" s="5" t="s">
        <v>29</v>
      </c>
      <c r="F56" s="4">
        <f>IFERROR(VLOOKUP(E56,enum!D$4:R$30,13,FALSE),"")</f>
        <v>7</v>
      </c>
      <c r="G56" s="5" t="s">
        <v>35</v>
      </c>
      <c r="H56" s="4">
        <f>IFERROR(VLOOKUP(G56,enum!F$4:T$30,11,FALSE),"")</f>
        <v>4</v>
      </c>
      <c r="I56" s="5" t="s">
        <v>41</v>
      </c>
      <c r="J56" s="4">
        <f>IFERROR(VLOOKUP(I56,enum!H$4:V$30,9,FALSE),"")</f>
        <v>0</v>
      </c>
      <c r="K56" s="5" t="s">
        <v>50</v>
      </c>
      <c r="L56" s="4">
        <f>IFERROR(VLOOKUP(K56,enum!J$4:X$30,7,FALSE),"")</f>
        <v>0</v>
      </c>
      <c r="M56" s="4">
        <v>7</v>
      </c>
      <c r="N56" s="4">
        <v>1</v>
      </c>
      <c r="O56" s="4">
        <v>1</v>
      </c>
      <c r="P56" s="4">
        <v>1</v>
      </c>
      <c r="Q56" s="5" t="s">
        <v>79</v>
      </c>
      <c r="R56" s="4">
        <f>IFERROR(VLOOKUP(Q56,enum!L$4:Q$30,5,FALSE),"")</f>
        <v>0</v>
      </c>
      <c r="S56" s="9">
        <v>0</v>
      </c>
      <c r="T56"/>
    </row>
    <row r="57" spans="2:20" x14ac:dyDescent="0.15">
      <c r="B57" s="15">
        <v>3900</v>
      </c>
      <c r="C57" s="5" t="s">
        <v>20</v>
      </c>
      <c r="D57" s="4">
        <f>IFERROR(VLOOKUP(C57,enum!B$4:P$30,15,FALSE),"")</f>
        <v>7</v>
      </c>
      <c r="E57" s="5" t="s">
        <v>24</v>
      </c>
      <c r="F57" s="4">
        <f>IFERROR(VLOOKUP(E57,enum!D$4:R$30,13,FALSE),"")</f>
        <v>2</v>
      </c>
      <c r="G57" s="5" t="s">
        <v>38</v>
      </c>
      <c r="H57" s="4">
        <f>IFERROR(VLOOKUP(G57,enum!F$4:T$30,11,FALSE),"")</f>
        <v>7</v>
      </c>
      <c r="I57" s="5" t="s">
        <v>46</v>
      </c>
      <c r="J57" s="4">
        <f>IFERROR(VLOOKUP(I57,enum!H$4:V$30,9,FALSE),"")</f>
        <v>5</v>
      </c>
      <c r="K57" s="5" t="s">
        <v>54</v>
      </c>
      <c r="L57" s="4">
        <f>IFERROR(VLOOKUP(K57,enum!J$4:X$30,7,FALSE),"")</f>
        <v>4</v>
      </c>
      <c r="M57" s="4">
        <v>5</v>
      </c>
      <c r="N57" s="4">
        <v>1</v>
      </c>
      <c r="O57" s="4">
        <v>1</v>
      </c>
      <c r="P57" s="4">
        <v>11</v>
      </c>
      <c r="Q57" s="5" t="s">
        <v>79</v>
      </c>
      <c r="R57" s="4">
        <f>IFERROR(VLOOKUP(Q57,enum!L$4:Q$30,5,FALSE),"")</f>
        <v>0</v>
      </c>
      <c r="S57" s="9">
        <v>0</v>
      </c>
      <c r="T57"/>
    </row>
    <row r="58" spans="2:20" x14ac:dyDescent="0.15">
      <c r="B58" s="15">
        <v>4000</v>
      </c>
      <c r="C58" s="5" t="s">
        <v>20</v>
      </c>
      <c r="D58" s="4">
        <f>IFERROR(VLOOKUP(C58,enum!B$4:P$30,15,FALSE),"")</f>
        <v>7</v>
      </c>
      <c r="E58" s="5" t="s">
        <v>28</v>
      </c>
      <c r="F58" s="4">
        <f>IFERROR(VLOOKUP(E58,enum!D$4:R$30,13,FALSE),"")</f>
        <v>6</v>
      </c>
      <c r="G58" s="5" t="s">
        <v>38</v>
      </c>
      <c r="H58" s="4">
        <f>IFERROR(VLOOKUP(G58,enum!F$4:T$30,11,FALSE),"")</f>
        <v>7</v>
      </c>
      <c r="I58" s="5" t="s">
        <v>46</v>
      </c>
      <c r="J58" s="4">
        <f>IFERROR(VLOOKUP(I58,enum!H$4:V$30,9,FALSE),"")</f>
        <v>5</v>
      </c>
      <c r="K58" s="5" t="s">
        <v>54</v>
      </c>
      <c r="L58" s="4">
        <f>IFERROR(VLOOKUP(K58,enum!J$4:X$30,7,FALSE),"")</f>
        <v>4</v>
      </c>
      <c r="M58" s="4">
        <v>5</v>
      </c>
      <c r="N58" s="4">
        <v>1</v>
      </c>
      <c r="O58" s="4">
        <v>1</v>
      </c>
      <c r="P58" s="4">
        <v>11</v>
      </c>
      <c r="Q58" s="5" t="s">
        <v>79</v>
      </c>
      <c r="R58" s="4">
        <f>IFERROR(VLOOKUP(Q58,enum!L$4:Q$30,5,FALSE),"")</f>
        <v>0</v>
      </c>
      <c r="S58" s="9">
        <v>0</v>
      </c>
      <c r="T58"/>
    </row>
    <row r="59" spans="2:20" x14ac:dyDescent="0.15">
      <c r="B59" s="15">
        <v>4150</v>
      </c>
      <c r="C59" s="5" t="s">
        <v>16</v>
      </c>
      <c r="D59" s="4">
        <f>IFERROR(VLOOKUP(C59,enum!B$4:P$30,15,FALSE),"")</f>
        <v>3</v>
      </c>
      <c r="E59" s="5" t="s">
        <v>23</v>
      </c>
      <c r="F59" s="4">
        <f>IFERROR(VLOOKUP(E59,enum!D$4:R$30,13,FALSE),"")</f>
        <v>1</v>
      </c>
      <c r="G59" s="5" t="s">
        <v>33</v>
      </c>
      <c r="H59" s="4">
        <f>IFERROR(VLOOKUP(G59,enum!F$4:T$30,11,FALSE),"")</f>
        <v>2</v>
      </c>
      <c r="I59" s="5" t="s">
        <v>41</v>
      </c>
      <c r="J59" s="4">
        <f>IFERROR(VLOOKUP(I59,enum!H$4:V$30,9,FALSE),"")</f>
        <v>0</v>
      </c>
      <c r="K59" s="5" t="s">
        <v>53</v>
      </c>
      <c r="L59" s="4">
        <f>IFERROR(VLOOKUP(K59,enum!J$4:X$30,7,FALSE),"")</f>
        <v>3</v>
      </c>
      <c r="M59" s="4">
        <v>7</v>
      </c>
      <c r="N59" s="4">
        <v>1</v>
      </c>
      <c r="O59" s="4">
        <v>1</v>
      </c>
      <c r="P59" s="4">
        <v>1</v>
      </c>
      <c r="Q59" s="5" t="s">
        <v>79</v>
      </c>
      <c r="R59" s="4">
        <f>IFERROR(VLOOKUP(Q59,enum!L$4:Q$30,5,FALSE),"")</f>
        <v>0</v>
      </c>
      <c r="S59" s="9">
        <v>0</v>
      </c>
      <c r="T59"/>
    </row>
    <row r="60" spans="2:20" x14ac:dyDescent="0.15">
      <c r="B60" s="15">
        <v>4200</v>
      </c>
      <c r="C60" s="5" t="s">
        <v>16</v>
      </c>
      <c r="D60" s="4">
        <f>IFERROR(VLOOKUP(C60,enum!B$4:P$30,15,FALSE),"")</f>
        <v>3</v>
      </c>
      <c r="E60" s="5" t="s">
        <v>23</v>
      </c>
      <c r="F60" s="4">
        <f>IFERROR(VLOOKUP(E60,enum!D$4:R$30,13,FALSE),"")</f>
        <v>1</v>
      </c>
      <c r="G60" s="5" t="s">
        <v>33</v>
      </c>
      <c r="H60" s="4">
        <f>IFERROR(VLOOKUP(G60,enum!F$4:T$30,11,FALSE),"")</f>
        <v>2</v>
      </c>
      <c r="I60" s="5" t="s">
        <v>41</v>
      </c>
      <c r="J60" s="4">
        <f>IFERROR(VLOOKUP(I60,enum!H$4:V$30,9,FALSE),"")</f>
        <v>0</v>
      </c>
      <c r="K60" s="5" t="s">
        <v>53</v>
      </c>
      <c r="L60" s="4">
        <f>IFERROR(VLOOKUP(K60,enum!J$4:X$30,7,FALSE),"")</f>
        <v>3</v>
      </c>
      <c r="M60" s="4">
        <v>7</v>
      </c>
      <c r="N60" s="4">
        <v>1</v>
      </c>
      <c r="O60" s="4">
        <v>1</v>
      </c>
      <c r="P60" s="4">
        <v>1</v>
      </c>
      <c r="Q60" s="5" t="s">
        <v>79</v>
      </c>
      <c r="R60" s="4">
        <f>IFERROR(VLOOKUP(Q60,enum!L$4:Q$30,5,FALSE),"")</f>
        <v>0</v>
      </c>
      <c r="S60" s="9">
        <v>0</v>
      </c>
      <c r="T60"/>
    </row>
    <row r="61" spans="2:20" x14ac:dyDescent="0.15">
      <c r="B61" s="15">
        <v>4250</v>
      </c>
      <c r="C61" s="5" t="s">
        <v>16</v>
      </c>
      <c r="D61" s="4">
        <f>IFERROR(VLOOKUP(C61,enum!B$4:P$30,15,FALSE),"")</f>
        <v>3</v>
      </c>
      <c r="E61" s="5" t="s">
        <v>23</v>
      </c>
      <c r="F61" s="4">
        <f>IFERROR(VLOOKUP(E61,enum!D$4:R$30,13,FALSE),"")</f>
        <v>1</v>
      </c>
      <c r="G61" s="5" t="s">
        <v>33</v>
      </c>
      <c r="H61" s="4">
        <f>IFERROR(VLOOKUP(G61,enum!F$4:T$30,11,FALSE),"")</f>
        <v>2</v>
      </c>
      <c r="I61" s="5" t="s">
        <v>41</v>
      </c>
      <c r="J61" s="4">
        <f>IFERROR(VLOOKUP(I61,enum!H$4:V$30,9,FALSE),"")</f>
        <v>0</v>
      </c>
      <c r="K61" s="5" t="s">
        <v>53</v>
      </c>
      <c r="L61" s="4">
        <f>IFERROR(VLOOKUP(K61,enum!J$4:X$30,7,FALSE),"")</f>
        <v>3</v>
      </c>
      <c r="M61" s="4">
        <v>7</v>
      </c>
      <c r="N61" s="4">
        <v>1</v>
      </c>
      <c r="O61" s="4">
        <v>1</v>
      </c>
      <c r="P61" s="4">
        <v>1</v>
      </c>
      <c r="Q61" s="5" t="s">
        <v>79</v>
      </c>
      <c r="R61" s="4">
        <f>IFERROR(VLOOKUP(Q61,enum!L$4:Q$30,5,FALSE),"")</f>
        <v>0</v>
      </c>
      <c r="S61" s="9">
        <v>0</v>
      </c>
      <c r="T61"/>
    </row>
    <row r="62" spans="2:20" x14ac:dyDescent="0.15">
      <c r="B62" s="15">
        <v>4350</v>
      </c>
      <c r="C62" s="5" t="s">
        <v>17</v>
      </c>
      <c r="D62" s="4">
        <f>IFERROR(VLOOKUP(C62,enum!B$4:P$30,15,FALSE),"")</f>
        <v>4</v>
      </c>
      <c r="E62" s="5" t="s">
        <v>29</v>
      </c>
      <c r="F62" s="4">
        <f>IFERROR(VLOOKUP(E62,enum!D$4:R$30,13,FALSE),"")</f>
        <v>7</v>
      </c>
      <c r="G62" s="5" t="s">
        <v>33</v>
      </c>
      <c r="H62" s="4">
        <f>IFERROR(VLOOKUP(G62,enum!F$4:T$30,11,FALSE),"")</f>
        <v>2</v>
      </c>
      <c r="I62" s="5" t="s">
        <v>41</v>
      </c>
      <c r="J62" s="4">
        <f>IFERROR(VLOOKUP(I62,enum!H$4:V$30,9,FALSE),"")</f>
        <v>0</v>
      </c>
      <c r="K62" s="5" t="s">
        <v>54</v>
      </c>
      <c r="L62" s="4">
        <f>IFERROR(VLOOKUP(K62,enum!J$4:X$30,7,FALSE),"")</f>
        <v>4</v>
      </c>
      <c r="M62" s="4">
        <v>7</v>
      </c>
      <c r="N62" s="4">
        <v>1</v>
      </c>
      <c r="O62" s="4">
        <v>1</v>
      </c>
      <c r="P62" s="4">
        <v>1</v>
      </c>
      <c r="Q62" s="5" t="s">
        <v>79</v>
      </c>
      <c r="R62" s="4">
        <f>IFERROR(VLOOKUP(Q62,enum!L$4:Q$30,5,FALSE),"")</f>
        <v>0</v>
      </c>
      <c r="S62" s="9">
        <v>0</v>
      </c>
      <c r="T62"/>
    </row>
    <row r="63" spans="2:20" x14ac:dyDescent="0.15">
      <c r="B63" s="15">
        <v>4400</v>
      </c>
      <c r="C63" s="5" t="s">
        <v>17</v>
      </c>
      <c r="D63" s="4">
        <f>IFERROR(VLOOKUP(C63,enum!B$4:P$30,15,FALSE),"")</f>
        <v>4</v>
      </c>
      <c r="E63" s="5" t="s">
        <v>29</v>
      </c>
      <c r="F63" s="4">
        <f>IFERROR(VLOOKUP(E63,enum!D$4:R$30,13,FALSE),"")</f>
        <v>7</v>
      </c>
      <c r="G63" s="5" t="s">
        <v>33</v>
      </c>
      <c r="H63" s="4">
        <f>IFERROR(VLOOKUP(G63,enum!F$4:T$30,11,FALSE),"")</f>
        <v>2</v>
      </c>
      <c r="I63" s="5" t="s">
        <v>41</v>
      </c>
      <c r="J63" s="4">
        <f>IFERROR(VLOOKUP(I63,enum!H$4:V$30,9,FALSE),"")</f>
        <v>0</v>
      </c>
      <c r="K63" s="5" t="s">
        <v>54</v>
      </c>
      <c r="L63" s="4">
        <f>IFERROR(VLOOKUP(K63,enum!J$4:X$30,7,FALSE),"")</f>
        <v>4</v>
      </c>
      <c r="M63" s="4">
        <v>7</v>
      </c>
      <c r="N63" s="4">
        <v>1</v>
      </c>
      <c r="O63" s="4">
        <v>1</v>
      </c>
      <c r="P63" s="4">
        <v>1</v>
      </c>
      <c r="Q63" s="5" t="s">
        <v>79</v>
      </c>
      <c r="R63" s="4">
        <f>IFERROR(VLOOKUP(Q63,enum!L$4:Q$30,5,FALSE),"")</f>
        <v>0</v>
      </c>
      <c r="S63" s="9">
        <v>0</v>
      </c>
      <c r="T63"/>
    </row>
    <row r="64" spans="2:20" x14ac:dyDescent="0.15">
      <c r="B64" s="15">
        <v>4450</v>
      </c>
      <c r="C64" s="5" t="s">
        <v>17</v>
      </c>
      <c r="D64" s="4">
        <f>IFERROR(VLOOKUP(C64,enum!B$4:P$30,15,FALSE),"")</f>
        <v>4</v>
      </c>
      <c r="E64" s="5" t="s">
        <v>29</v>
      </c>
      <c r="F64" s="4">
        <f>IFERROR(VLOOKUP(E64,enum!D$4:R$30,13,FALSE),"")</f>
        <v>7</v>
      </c>
      <c r="G64" s="5" t="s">
        <v>33</v>
      </c>
      <c r="H64" s="4">
        <f>IFERROR(VLOOKUP(G64,enum!F$4:T$30,11,FALSE),"")</f>
        <v>2</v>
      </c>
      <c r="I64" s="5" t="s">
        <v>41</v>
      </c>
      <c r="J64" s="4">
        <f>IFERROR(VLOOKUP(I64,enum!H$4:V$30,9,FALSE),"")</f>
        <v>0</v>
      </c>
      <c r="K64" s="5" t="s">
        <v>54</v>
      </c>
      <c r="L64" s="4">
        <f>IFERROR(VLOOKUP(K64,enum!J$4:X$30,7,FALSE),"")</f>
        <v>4</v>
      </c>
      <c r="M64" s="4">
        <v>7</v>
      </c>
      <c r="N64" s="4">
        <v>1</v>
      </c>
      <c r="O64" s="4">
        <v>1</v>
      </c>
      <c r="P64" s="4">
        <v>1</v>
      </c>
      <c r="Q64" s="5" t="s">
        <v>79</v>
      </c>
      <c r="R64" s="4">
        <f>IFERROR(VLOOKUP(Q64,enum!L$4:Q$30,5,FALSE),"")</f>
        <v>0</v>
      </c>
      <c r="S64" s="9">
        <v>0</v>
      </c>
      <c r="T64"/>
    </row>
    <row r="65" spans="2:20" x14ac:dyDescent="0.15">
      <c r="B65" s="15">
        <v>4550</v>
      </c>
      <c r="C65" s="5" t="s">
        <v>15</v>
      </c>
      <c r="D65" s="4">
        <f>IFERROR(VLOOKUP(C65,enum!B$4:P$30,15,FALSE),"")</f>
        <v>2</v>
      </c>
      <c r="E65" s="5" t="s">
        <v>24</v>
      </c>
      <c r="F65" s="4">
        <f>IFERROR(VLOOKUP(E65,enum!D$4:R$30,13,FALSE),"")</f>
        <v>2</v>
      </c>
      <c r="G65" s="5" t="s">
        <v>33</v>
      </c>
      <c r="H65" s="4">
        <f>IFERROR(VLOOKUP(G65,enum!F$4:T$30,11,FALSE),"")</f>
        <v>2</v>
      </c>
      <c r="I65" s="5" t="s">
        <v>41</v>
      </c>
      <c r="J65" s="4">
        <f>IFERROR(VLOOKUP(I65,enum!H$4:V$30,9,FALSE),"")</f>
        <v>0</v>
      </c>
      <c r="K65" s="5" t="s">
        <v>52</v>
      </c>
      <c r="L65" s="4">
        <f>IFERROR(VLOOKUP(K65,enum!J$4:X$30,7,FALSE),"")</f>
        <v>2</v>
      </c>
      <c r="M65" s="4">
        <v>7</v>
      </c>
      <c r="N65" s="4">
        <v>1</v>
      </c>
      <c r="O65" s="4">
        <v>1</v>
      </c>
      <c r="P65" s="4">
        <v>1</v>
      </c>
      <c r="Q65" s="5" t="s">
        <v>79</v>
      </c>
      <c r="R65" s="4">
        <f>IFERROR(VLOOKUP(Q65,enum!L$4:Q$30,5,FALSE),"")</f>
        <v>0</v>
      </c>
      <c r="S65" s="9">
        <v>0</v>
      </c>
      <c r="T65"/>
    </row>
    <row r="66" spans="2:20" x14ac:dyDescent="0.15">
      <c r="B66" s="15">
        <v>4600</v>
      </c>
      <c r="C66" s="5" t="s">
        <v>15</v>
      </c>
      <c r="D66" s="4">
        <f>IFERROR(VLOOKUP(C66,enum!B$4:P$30,15,FALSE),"")</f>
        <v>2</v>
      </c>
      <c r="E66" s="5" t="s">
        <v>24</v>
      </c>
      <c r="F66" s="4">
        <f>IFERROR(VLOOKUP(E66,enum!D$4:R$30,13,FALSE),"")</f>
        <v>2</v>
      </c>
      <c r="G66" s="5" t="s">
        <v>33</v>
      </c>
      <c r="H66" s="4">
        <f>IFERROR(VLOOKUP(G66,enum!F$4:T$30,11,FALSE),"")</f>
        <v>2</v>
      </c>
      <c r="I66" s="5" t="s">
        <v>41</v>
      </c>
      <c r="J66" s="4">
        <f>IFERROR(VLOOKUP(I66,enum!H$4:V$30,9,FALSE),"")</f>
        <v>0</v>
      </c>
      <c r="K66" s="5" t="s">
        <v>52</v>
      </c>
      <c r="L66" s="4">
        <f>IFERROR(VLOOKUP(K66,enum!J$4:X$30,7,FALSE),"")</f>
        <v>2</v>
      </c>
      <c r="M66" s="4">
        <v>7</v>
      </c>
      <c r="N66" s="4">
        <v>1</v>
      </c>
      <c r="O66" s="4">
        <v>1</v>
      </c>
      <c r="P66" s="4">
        <v>1</v>
      </c>
      <c r="Q66" s="5" t="s">
        <v>79</v>
      </c>
      <c r="R66" s="4">
        <f>IFERROR(VLOOKUP(Q66,enum!L$4:Q$30,5,FALSE),"")</f>
        <v>0</v>
      </c>
      <c r="S66" s="9">
        <v>0</v>
      </c>
      <c r="T66"/>
    </row>
    <row r="67" spans="2:20" x14ac:dyDescent="0.15">
      <c r="B67" s="15">
        <v>4650</v>
      </c>
      <c r="C67" s="5" t="s">
        <v>15</v>
      </c>
      <c r="D67" s="4">
        <f>IFERROR(VLOOKUP(C67,enum!B$4:P$30,15,FALSE),"")</f>
        <v>2</v>
      </c>
      <c r="E67" s="5" t="s">
        <v>24</v>
      </c>
      <c r="F67" s="4">
        <f>IFERROR(VLOOKUP(E67,enum!D$4:R$30,13,FALSE),"")</f>
        <v>2</v>
      </c>
      <c r="G67" s="5" t="s">
        <v>33</v>
      </c>
      <c r="H67" s="4">
        <f>IFERROR(VLOOKUP(G67,enum!F$4:T$30,11,FALSE),"")</f>
        <v>2</v>
      </c>
      <c r="I67" s="5" t="s">
        <v>41</v>
      </c>
      <c r="J67" s="4">
        <f>IFERROR(VLOOKUP(I67,enum!H$4:V$30,9,FALSE),"")</f>
        <v>0</v>
      </c>
      <c r="K67" s="5" t="s">
        <v>52</v>
      </c>
      <c r="L67" s="4">
        <f>IFERROR(VLOOKUP(K67,enum!J$4:X$30,7,FALSE),"")</f>
        <v>2</v>
      </c>
      <c r="M67" s="4">
        <v>7</v>
      </c>
      <c r="N67" s="4">
        <v>1</v>
      </c>
      <c r="O67" s="4">
        <v>1</v>
      </c>
      <c r="P67" s="4">
        <v>1</v>
      </c>
      <c r="Q67" s="5" t="s">
        <v>79</v>
      </c>
      <c r="R67" s="4">
        <f>IFERROR(VLOOKUP(Q67,enum!L$4:Q$30,5,FALSE),"")</f>
        <v>0</v>
      </c>
      <c r="S67" s="9">
        <v>0</v>
      </c>
      <c r="T67"/>
    </row>
    <row r="68" spans="2:20" x14ac:dyDescent="0.15">
      <c r="B68" s="15">
        <v>0</v>
      </c>
      <c r="C68" s="5" t="s">
        <v>13</v>
      </c>
      <c r="D68" s="4">
        <f>IFERROR(VLOOKUP(C68,enum!B$4:P$30,15,FALSE),"")</f>
        <v>0</v>
      </c>
      <c r="E68" s="5" t="s">
        <v>22</v>
      </c>
      <c r="F68" s="4">
        <f>IFERROR(VLOOKUP(E68,enum!D$4:R$30,13,FALSE),"")</f>
        <v>0</v>
      </c>
      <c r="G68" s="5" t="s">
        <v>31</v>
      </c>
      <c r="H68" s="4">
        <f>IFERROR(VLOOKUP(G68,enum!F$4:T$30,11,FALSE),"")</f>
        <v>0</v>
      </c>
      <c r="I68" s="5" t="s">
        <v>41</v>
      </c>
      <c r="J68" s="4">
        <f>IFERROR(VLOOKUP(I68,enum!H$4:V$30,9,FALSE),"")</f>
        <v>0</v>
      </c>
      <c r="K68" s="5" t="s">
        <v>50</v>
      </c>
      <c r="L68" s="4">
        <f>IFERROR(VLOOKUP(K68,enum!J$4:X$30,7,FALSE),"")</f>
        <v>0</v>
      </c>
      <c r="M68" s="4">
        <v>0</v>
      </c>
      <c r="N68" s="4">
        <v>0</v>
      </c>
      <c r="O68" s="4">
        <v>0</v>
      </c>
      <c r="P68" s="4">
        <v>0</v>
      </c>
      <c r="Q68" s="5" t="s">
        <v>79</v>
      </c>
      <c r="R68" s="4">
        <f>IFERROR(VLOOKUP(Q68,enum!L$4:Q$30,5,FALSE),"")</f>
        <v>0</v>
      </c>
      <c r="S68" s="9">
        <v>0</v>
      </c>
      <c r="T68"/>
    </row>
    <row r="69" spans="2:20" x14ac:dyDescent="0.15">
      <c r="B69" s="15">
        <v>0</v>
      </c>
      <c r="C69" s="5" t="s">
        <v>13</v>
      </c>
      <c r="D69" s="4">
        <f>IFERROR(VLOOKUP(C69,enum!B$4:P$30,15,FALSE),"")</f>
        <v>0</v>
      </c>
      <c r="E69" s="5" t="s">
        <v>22</v>
      </c>
      <c r="F69" s="4">
        <f>IFERROR(VLOOKUP(E69,enum!D$4:R$30,13,FALSE),"")</f>
        <v>0</v>
      </c>
      <c r="G69" s="5" t="s">
        <v>31</v>
      </c>
      <c r="H69" s="4">
        <f>IFERROR(VLOOKUP(G69,enum!F$4:T$30,11,FALSE),"")</f>
        <v>0</v>
      </c>
      <c r="I69" s="5" t="s">
        <v>41</v>
      </c>
      <c r="J69" s="4">
        <f>IFERROR(VLOOKUP(I69,enum!H$4:V$30,9,FALSE),"")</f>
        <v>0</v>
      </c>
      <c r="K69" s="5" t="s">
        <v>50</v>
      </c>
      <c r="L69" s="4">
        <f>IFERROR(VLOOKUP(K69,enum!J$4:X$30,7,FALSE),"")</f>
        <v>0</v>
      </c>
      <c r="M69" s="4">
        <v>0</v>
      </c>
      <c r="N69" s="4">
        <v>0</v>
      </c>
      <c r="O69" s="4">
        <v>0</v>
      </c>
      <c r="P69" s="4">
        <v>0</v>
      </c>
      <c r="Q69" s="5" t="s">
        <v>79</v>
      </c>
      <c r="R69" s="4">
        <f>IFERROR(VLOOKUP(Q69,enum!L$4:Q$30,5,FALSE),"")</f>
        <v>0</v>
      </c>
      <c r="S69" s="9">
        <v>0</v>
      </c>
      <c r="T69"/>
    </row>
    <row r="70" spans="2:20" x14ac:dyDescent="0.15">
      <c r="B70" s="15">
        <v>0</v>
      </c>
      <c r="C70" s="5" t="s">
        <v>13</v>
      </c>
      <c r="D70" s="4">
        <f>IFERROR(VLOOKUP(C70,enum!B$4:P$30,15,FALSE),"")</f>
        <v>0</v>
      </c>
      <c r="E70" s="5" t="s">
        <v>22</v>
      </c>
      <c r="F70" s="4">
        <f>IFERROR(VLOOKUP(E70,enum!D$4:R$30,13,FALSE),"")</f>
        <v>0</v>
      </c>
      <c r="G70" s="5" t="s">
        <v>31</v>
      </c>
      <c r="H70" s="4">
        <f>IFERROR(VLOOKUP(G70,enum!F$4:T$30,11,FALSE),"")</f>
        <v>0</v>
      </c>
      <c r="I70" s="5" t="s">
        <v>41</v>
      </c>
      <c r="J70" s="4">
        <f>IFERROR(VLOOKUP(I70,enum!H$4:V$30,9,FALSE),"")</f>
        <v>0</v>
      </c>
      <c r="K70" s="5" t="s">
        <v>50</v>
      </c>
      <c r="L70" s="4">
        <f>IFERROR(VLOOKUP(K70,enum!J$4:X$30,7,FALSE),"")</f>
        <v>0</v>
      </c>
      <c r="M70" s="4">
        <v>0</v>
      </c>
      <c r="N70" s="4">
        <v>0</v>
      </c>
      <c r="O70" s="4">
        <v>0</v>
      </c>
      <c r="P70" s="4">
        <v>0</v>
      </c>
      <c r="Q70" s="5" t="s">
        <v>79</v>
      </c>
      <c r="R70" s="4">
        <f>IFERROR(VLOOKUP(Q70,enum!L$4:Q$30,5,FALSE),"")</f>
        <v>0</v>
      </c>
      <c r="S70" s="9">
        <v>0</v>
      </c>
      <c r="T70"/>
    </row>
    <row r="71" spans="2:20" x14ac:dyDescent="0.15">
      <c r="B71" s="15">
        <v>0</v>
      </c>
      <c r="C71" s="5" t="s">
        <v>13</v>
      </c>
      <c r="D71" s="4">
        <f>IFERROR(VLOOKUP(C71,enum!B$4:P$30,15,FALSE),"")</f>
        <v>0</v>
      </c>
      <c r="E71" s="5" t="s">
        <v>22</v>
      </c>
      <c r="F71" s="4">
        <f>IFERROR(VLOOKUP(E71,enum!D$4:R$30,13,FALSE),"")</f>
        <v>0</v>
      </c>
      <c r="G71" s="5" t="s">
        <v>31</v>
      </c>
      <c r="H71" s="4">
        <f>IFERROR(VLOOKUP(G71,enum!F$4:T$30,11,FALSE),"")</f>
        <v>0</v>
      </c>
      <c r="I71" s="5" t="s">
        <v>41</v>
      </c>
      <c r="J71" s="4">
        <f>IFERROR(VLOOKUP(I71,enum!H$4:V$30,9,FALSE),"")</f>
        <v>0</v>
      </c>
      <c r="K71" s="5" t="s">
        <v>50</v>
      </c>
      <c r="L71" s="4">
        <f>IFERROR(VLOOKUP(K71,enum!J$4:X$30,7,FALSE),"")</f>
        <v>0</v>
      </c>
      <c r="M71" s="4">
        <v>0</v>
      </c>
      <c r="N71" s="4">
        <v>0</v>
      </c>
      <c r="O71" s="4">
        <v>0</v>
      </c>
      <c r="P71" s="4">
        <v>0</v>
      </c>
      <c r="Q71" s="5" t="s">
        <v>79</v>
      </c>
      <c r="R71" s="4">
        <f>IFERROR(VLOOKUP(Q71,enum!L$4:Q$30,5,FALSE),"")</f>
        <v>0</v>
      </c>
      <c r="S71" s="9">
        <v>0</v>
      </c>
      <c r="T71"/>
    </row>
    <row r="72" spans="2:20" x14ac:dyDescent="0.15">
      <c r="B72" s="15">
        <v>0</v>
      </c>
      <c r="C72" s="5" t="s">
        <v>13</v>
      </c>
      <c r="D72" s="4">
        <f>IFERROR(VLOOKUP(C72,enum!B$4:P$30,15,FALSE),"")</f>
        <v>0</v>
      </c>
      <c r="E72" s="5" t="s">
        <v>22</v>
      </c>
      <c r="F72" s="4">
        <f>IFERROR(VLOOKUP(E72,enum!D$4:R$30,13,FALSE),"")</f>
        <v>0</v>
      </c>
      <c r="G72" s="5" t="s">
        <v>31</v>
      </c>
      <c r="H72" s="4">
        <f>IFERROR(VLOOKUP(G72,enum!F$4:T$30,11,FALSE),"")</f>
        <v>0</v>
      </c>
      <c r="I72" s="5" t="s">
        <v>41</v>
      </c>
      <c r="J72" s="4">
        <f>IFERROR(VLOOKUP(I72,enum!H$4:V$30,9,FALSE),"")</f>
        <v>0</v>
      </c>
      <c r="K72" s="5" t="s">
        <v>50</v>
      </c>
      <c r="L72" s="4">
        <f>IFERROR(VLOOKUP(K72,enum!J$4:X$30,7,FALSE),"")</f>
        <v>0</v>
      </c>
      <c r="M72" s="4">
        <v>0</v>
      </c>
      <c r="N72" s="4">
        <v>0</v>
      </c>
      <c r="O72" s="4">
        <v>0</v>
      </c>
      <c r="P72" s="4">
        <v>0</v>
      </c>
      <c r="Q72" s="5" t="s">
        <v>79</v>
      </c>
      <c r="R72" s="4">
        <f>IFERROR(VLOOKUP(Q72,enum!L$4:Q$30,5,FALSE),"")</f>
        <v>0</v>
      </c>
      <c r="S72" s="9">
        <v>0</v>
      </c>
      <c r="T72"/>
    </row>
    <row r="73" spans="2:20" x14ac:dyDescent="0.15">
      <c r="B73" s="15">
        <v>0</v>
      </c>
      <c r="C73" s="5" t="s">
        <v>13</v>
      </c>
      <c r="D73" s="4">
        <f>IFERROR(VLOOKUP(C73,enum!B$4:P$30,15,FALSE),"")</f>
        <v>0</v>
      </c>
      <c r="E73" s="5" t="s">
        <v>22</v>
      </c>
      <c r="F73" s="4">
        <f>IFERROR(VLOOKUP(E73,enum!D$4:R$30,13,FALSE),"")</f>
        <v>0</v>
      </c>
      <c r="G73" s="5" t="s">
        <v>31</v>
      </c>
      <c r="H73" s="4">
        <f>IFERROR(VLOOKUP(G73,enum!F$4:T$30,11,FALSE),"")</f>
        <v>0</v>
      </c>
      <c r="I73" s="5" t="s">
        <v>41</v>
      </c>
      <c r="J73" s="4">
        <f>IFERROR(VLOOKUP(I73,enum!H$4:V$30,9,FALSE),"")</f>
        <v>0</v>
      </c>
      <c r="K73" s="5" t="s">
        <v>50</v>
      </c>
      <c r="L73" s="4">
        <f>IFERROR(VLOOKUP(K73,enum!J$4:X$30,7,FALSE),"")</f>
        <v>0</v>
      </c>
      <c r="M73" s="4">
        <v>0</v>
      </c>
      <c r="N73" s="4">
        <v>0</v>
      </c>
      <c r="O73" s="4">
        <v>0</v>
      </c>
      <c r="P73" s="4">
        <v>0</v>
      </c>
      <c r="Q73" s="5" t="s">
        <v>79</v>
      </c>
      <c r="R73" s="4">
        <f>IFERROR(VLOOKUP(Q73,enum!L$4:Q$30,5,FALSE),"")</f>
        <v>0</v>
      </c>
      <c r="S73" s="9">
        <v>0</v>
      </c>
      <c r="T73"/>
    </row>
    <row r="74" spans="2:20" x14ac:dyDescent="0.15">
      <c r="B74" s="15">
        <v>0</v>
      </c>
      <c r="C74" s="5" t="s">
        <v>13</v>
      </c>
      <c r="D74" s="4">
        <f>IFERROR(VLOOKUP(C74,enum!B$4:P$30,15,FALSE),"")</f>
        <v>0</v>
      </c>
      <c r="E74" s="5" t="s">
        <v>22</v>
      </c>
      <c r="F74" s="4">
        <f>IFERROR(VLOOKUP(E74,enum!D$4:R$30,13,FALSE),"")</f>
        <v>0</v>
      </c>
      <c r="G74" s="5" t="s">
        <v>31</v>
      </c>
      <c r="H74" s="4">
        <f>IFERROR(VLOOKUP(G74,enum!F$4:T$30,11,FALSE),"")</f>
        <v>0</v>
      </c>
      <c r="I74" s="5" t="s">
        <v>41</v>
      </c>
      <c r="J74" s="4">
        <f>IFERROR(VLOOKUP(I74,enum!H$4:V$30,9,FALSE),"")</f>
        <v>0</v>
      </c>
      <c r="K74" s="5" t="s">
        <v>50</v>
      </c>
      <c r="L74" s="4">
        <f>IFERROR(VLOOKUP(K74,enum!J$4:X$30,7,FALSE),"")</f>
        <v>0</v>
      </c>
      <c r="M74" s="4">
        <v>0</v>
      </c>
      <c r="N74" s="4">
        <v>0</v>
      </c>
      <c r="O74" s="4">
        <v>0</v>
      </c>
      <c r="P74" s="4">
        <v>0</v>
      </c>
      <c r="Q74" s="5" t="s">
        <v>79</v>
      </c>
      <c r="R74" s="4">
        <f>IFERROR(VLOOKUP(Q74,enum!L$4:Q$30,5,FALSE),"")</f>
        <v>0</v>
      </c>
      <c r="S74" s="9">
        <v>0</v>
      </c>
      <c r="T74"/>
    </row>
    <row r="75" spans="2:20" x14ac:dyDescent="0.15">
      <c r="B75" s="15">
        <v>0</v>
      </c>
      <c r="C75" s="5" t="s">
        <v>13</v>
      </c>
      <c r="D75" s="4">
        <f>IFERROR(VLOOKUP(C75,enum!B$4:P$30,15,FALSE),"")</f>
        <v>0</v>
      </c>
      <c r="E75" s="5" t="s">
        <v>22</v>
      </c>
      <c r="F75" s="4">
        <f>IFERROR(VLOOKUP(E75,enum!D$4:R$30,13,FALSE),"")</f>
        <v>0</v>
      </c>
      <c r="G75" s="5" t="s">
        <v>31</v>
      </c>
      <c r="H75" s="4">
        <f>IFERROR(VLOOKUP(G75,enum!F$4:T$30,11,FALSE),"")</f>
        <v>0</v>
      </c>
      <c r="I75" s="5" t="s">
        <v>41</v>
      </c>
      <c r="J75" s="4">
        <f>IFERROR(VLOOKUP(I75,enum!H$4:V$30,9,FALSE),"")</f>
        <v>0</v>
      </c>
      <c r="K75" s="5" t="s">
        <v>50</v>
      </c>
      <c r="L75" s="4">
        <f>IFERROR(VLOOKUP(K75,enum!J$4:X$30,7,FALSE),"")</f>
        <v>0</v>
      </c>
      <c r="M75" s="4">
        <v>0</v>
      </c>
      <c r="N75" s="4">
        <v>0</v>
      </c>
      <c r="O75" s="4">
        <v>0</v>
      </c>
      <c r="P75" s="4">
        <v>0</v>
      </c>
      <c r="Q75" s="5" t="s">
        <v>79</v>
      </c>
      <c r="R75" s="4">
        <f>IFERROR(VLOOKUP(Q75,enum!L$4:Q$30,5,FALSE),"")</f>
        <v>0</v>
      </c>
      <c r="S75" s="9">
        <v>0</v>
      </c>
      <c r="T75"/>
    </row>
    <row r="76" spans="2:20" x14ac:dyDescent="0.15">
      <c r="B76" s="15">
        <v>0</v>
      </c>
      <c r="C76" s="5" t="s">
        <v>13</v>
      </c>
      <c r="D76" s="4">
        <f>IFERROR(VLOOKUP(C76,enum!B$4:P$30,15,FALSE),"")</f>
        <v>0</v>
      </c>
      <c r="E76" s="5" t="s">
        <v>22</v>
      </c>
      <c r="F76" s="4">
        <f>IFERROR(VLOOKUP(E76,enum!D$4:R$30,13,FALSE),"")</f>
        <v>0</v>
      </c>
      <c r="G76" s="5" t="s">
        <v>31</v>
      </c>
      <c r="H76" s="4">
        <f>IFERROR(VLOOKUP(G76,enum!F$4:T$30,11,FALSE),"")</f>
        <v>0</v>
      </c>
      <c r="I76" s="5" t="s">
        <v>41</v>
      </c>
      <c r="J76" s="4">
        <f>IFERROR(VLOOKUP(I76,enum!H$4:V$30,9,FALSE),"")</f>
        <v>0</v>
      </c>
      <c r="K76" s="5" t="s">
        <v>50</v>
      </c>
      <c r="L76" s="4">
        <f>IFERROR(VLOOKUP(K76,enum!J$4:X$30,7,FALSE),"")</f>
        <v>0</v>
      </c>
      <c r="M76" s="4">
        <v>0</v>
      </c>
      <c r="N76" s="4">
        <v>0</v>
      </c>
      <c r="O76" s="4">
        <v>0</v>
      </c>
      <c r="P76" s="4">
        <v>0</v>
      </c>
      <c r="Q76" s="5" t="s">
        <v>79</v>
      </c>
      <c r="R76" s="4">
        <f>IFERROR(VLOOKUP(Q76,enum!L$4:Q$30,5,FALSE),"")</f>
        <v>0</v>
      </c>
      <c r="S76" s="9">
        <v>0</v>
      </c>
      <c r="T76"/>
    </row>
    <row r="77" spans="2:20" x14ac:dyDescent="0.15">
      <c r="B77" s="15">
        <v>0</v>
      </c>
      <c r="C77" s="5" t="s">
        <v>13</v>
      </c>
      <c r="D77" s="4">
        <f>IFERROR(VLOOKUP(C77,enum!B$4:P$30,15,FALSE),"")</f>
        <v>0</v>
      </c>
      <c r="E77" s="5" t="s">
        <v>22</v>
      </c>
      <c r="F77" s="4">
        <f>IFERROR(VLOOKUP(E77,enum!D$4:R$30,13,FALSE),"")</f>
        <v>0</v>
      </c>
      <c r="G77" s="5" t="s">
        <v>31</v>
      </c>
      <c r="H77" s="4">
        <f>IFERROR(VLOOKUP(G77,enum!F$4:T$30,11,FALSE),"")</f>
        <v>0</v>
      </c>
      <c r="I77" s="5" t="s">
        <v>41</v>
      </c>
      <c r="J77" s="4">
        <f>IFERROR(VLOOKUP(I77,enum!H$4:V$30,9,FALSE),"")</f>
        <v>0</v>
      </c>
      <c r="K77" s="5" t="s">
        <v>50</v>
      </c>
      <c r="L77" s="4">
        <f>IFERROR(VLOOKUP(K77,enum!J$4:X$30,7,FALSE),"")</f>
        <v>0</v>
      </c>
      <c r="M77" s="4">
        <v>0</v>
      </c>
      <c r="N77" s="4">
        <v>0</v>
      </c>
      <c r="O77" s="4">
        <v>0</v>
      </c>
      <c r="P77" s="4">
        <v>0</v>
      </c>
      <c r="Q77" s="5" t="s">
        <v>79</v>
      </c>
      <c r="R77" s="4">
        <f>IFERROR(VLOOKUP(Q77,enum!L$4:Q$30,5,FALSE),"")</f>
        <v>0</v>
      </c>
      <c r="S77" s="9">
        <v>0</v>
      </c>
      <c r="T77"/>
    </row>
    <row r="78" spans="2:20" x14ac:dyDescent="0.15">
      <c r="B78" s="15">
        <v>0</v>
      </c>
      <c r="C78" s="5" t="s">
        <v>13</v>
      </c>
      <c r="D78" s="4">
        <f>IFERROR(VLOOKUP(C78,enum!B$4:P$30,15,FALSE),"")</f>
        <v>0</v>
      </c>
      <c r="E78" s="5" t="s">
        <v>22</v>
      </c>
      <c r="F78" s="4">
        <f>IFERROR(VLOOKUP(E78,enum!D$4:R$30,13,FALSE),"")</f>
        <v>0</v>
      </c>
      <c r="G78" s="5" t="s">
        <v>31</v>
      </c>
      <c r="H78" s="4">
        <f>IFERROR(VLOOKUP(G78,enum!F$4:T$30,11,FALSE),"")</f>
        <v>0</v>
      </c>
      <c r="I78" s="5" t="s">
        <v>41</v>
      </c>
      <c r="J78" s="4">
        <f>IFERROR(VLOOKUP(I78,enum!H$4:V$30,9,FALSE),"")</f>
        <v>0</v>
      </c>
      <c r="K78" s="5" t="s">
        <v>50</v>
      </c>
      <c r="L78" s="4">
        <f>IFERROR(VLOOKUP(K78,enum!J$4:X$30,7,FALSE),"")</f>
        <v>0</v>
      </c>
      <c r="M78" s="4">
        <v>0</v>
      </c>
      <c r="N78" s="4">
        <v>0</v>
      </c>
      <c r="O78" s="4">
        <v>0</v>
      </c>
      <c r="P78" s="4">
        <v>0</v>
      </c>
      <c r="Q78" s="5" t="s">
        <v>79</v>
      </c>
      <c r="R78" s="4">
        <f>IFERROR(VLOOKUP(Q78,enum!L$4:Q$30,5,FALSE),"")</f>
        <v>0</v>
      </c>
      <c r="S78" s="9">
        <v>0</v>
      </c>
      <c r="T78"/>
    </row>
    <row r="79" spans="2:20" x14ac:dyDescent="0.15">
      <c r="B79" s="15">
        <v>0</v>
      </c>
      <c r="C79" s="5" t="s">
        <v>13</v>
      </c>
      <c r="D79" s="4">
        <f>IFERROR(VLOOKUP(C79,enum!B$4:P$30,15,FALSE),"")</f>
        <v>0</v>
      </c>
      <c r="E79" s="5" t="s">
        <v>22</v>
      </c>
      <c r="F79" s="4">
        <f>IFERROR(VLOOKUP(E79,enum!D$4:R$30,13,FALSE),"")</f>
        <v>0</v>
      </c>
      <c r="G79" s="5" t="s">
        <v>31</v>
      </c>
      <c r="H79" s="4">
        <f>IFERROR(VLOOKUP(G79,enum!F$4:T$30,11,FALSE),"")</f>
        <v>0</v>
      </c>
      <c r="I79" s="5" t="s">
        <v>41</v>
      </c>
      <c r="J79" s="4">
        <f>IFERROR(VLOOKUP(I79,enum!H$4:V$30,9,FALSE),"")</f>
        <v>0</v>
      </c>
      <c r="K79" s="5" t="s">
        <v>50</v>
      </c>
      <c r="L79" s="4">
        <f>IFERROR(VLOOKUP(K79,enum!J$4:X$30,7,FALSE),"")</f>
        <v>0</v>
      </c>
      <c r="M79" s="4">
        <v>0</v>
      </c>
      <c r="N79" s="4">
        <v>0</v>
      </c>
      <c r="O79" s="4">
        <v>0</v>
      </c>
      <c r="P79" s="4">
        <v>0</v>
      </c>
      <c r="Q79" s="5" t="s">
        <v>79</v>
      </c>
      <c r="R79" s="4">
        <f>IFERROR(VLOOKUP(Q79,enum!L$4:Q$30,5,FALSE),"")</f>
        <v>0</v>
      </c>
      <c r="S79" s="9">
        <v>0</v>
      </c>
      <c r="T79"/>
    </row>
    <row r="80" spans="2:20" x14ac:dyDescent="0.15">
      <c r="B80" s="15">
        <v>0</v>
      </c>
      <c r="C80" s="5" t="s">
        <v>13</v>
      </c>
      <c r="D80" s="4">
        <f>IFERROR(VLOOKUP(C80,enum!B$4:P$30,15,FALSE),"")</f>
        <v>0</v>
      </c>
      <c r="E80" s="5" t="s">
        <v>22</v>
      </c>
      <c r="F80" s="4">
        <f>IFERROR(VLOOKUP(E80,enum!D$4:R$30,13,FALSE),"")</f>
        <v>0</v>
      </c>
      <c r="G80" s="5" t="s">
        <v>31</v>
      </c>
      <c r="H80" s="4">
        <f>IFERROR(VLOOKUP(G80,enum!F$4:T$30,11,FALSE),"")</f>
        <v>0</v>
      </c>
      <c r="I80" s="5" t="s">
        <v>41</v>
      </c>
      <c r="J80" s="4">
        <f>IFERROR(VLOOKUP(I80,enum!H$4:V$30,9,FALSE),"")</f>
        <v>0</v>
      </c>
      <c r="K80" s="5" t="s">
        <v>50</v>
      </c>
      <c r="L80" s="4">
        <f>IFERROR(VLOOKUP(K80,enum!J$4:X$30,7,FALSE),"")</f>
        <v>0</v>
      </c>
      <c r="M80" s="4">
        <v>0</v>
      </c>
      <c r="N80" s="4">
        <v>0</v>
      </c>
      <c r="O80" s="4">
        <v>0</v>
      </c>
      <c r="P80" s="4">
        <v>0</v>
      </c>
      <c r="Q80" s="5" t="s">
        <v>79</v>
      </c>
      <c r="R80" s="4">
        <f>IFERROR(VLOOKUP(Q80,enum!L$4:Q$30,5,FALSE),"")</f>
        <v>0</v>
      </c>
      <c r="S80" s="9">
        <v>0</v>
      </c>
      <c r="T80"/>
    </row>
    <row r="81" spans="2:20" x14ac:dyDescent="0.15">
      <c r="B81" s="15">
        <v>0</v>
      </c>
      <c r="C81" s="5" t="s">
        <v>13</v>
      </c>
      <c r="D81" s="4">
        <f>IFERROR(VLOOKUP(C81,enum!B$4:P$30,15,FALSE),"")</f>
        <v>0</v>
      </c>
      <c r="E81" s="5" t="s">
        <v>22</v>
      </c>
      <c r="F81" s="4">
        <f>IFERROR(VLOOKUP(E81,enum!D$4:R$30,13,FALSE),"")</f>
        <v>0</v>
      </c>
      <c r="G81" s="5" t="s">
        <v>31</v>
      </c>
      <c r="H81" s="4">
        <f>IFERROR(VLOOKUP(G81,enum!F$4:T$30,11,FALSE),"")</f>
        <v>0</v>
      </c>
      <c r="I81" s="5" t="s">
        <v>41</v>
      </c>
      <c r="J81" s="4">
        <f>IFERROR(VLOOKUP(I81,enum!H$4:V$30,9,FALSE),"")</f>
        <v>0</v>
      </c>
      <c r="K81" s="5" t="s">
        <v>50</v>
      </c>
      <c r="L81" s="4">
        <f>IFERROR(VLOOKUP(K81,enum!J$4:X$30,7,FALSE),"")</f>
        <v>0</v>
      </c>
      <c r="M81" s="4">
        <v>0</v>
      </c>
      <c r="N81" s="4">
        <v>0</v>
      </c>
      <c r="O81" s="4">
        <v>0</v>
      </c>
      <c r="P81" s="4">
        <v>0</v>
      </c>
      <c r="Q81" s="5" t="s">
        <v>79</v>
      </c>
      <c r="R81" s="4">
        <f>IFERROR(VLOOKUP(Q81,enum!L$4:Q$30,5,FALSE),"")</f>
        <v>0</v>
      </c>
      <c r="S81" s="9">
        <v>0</v>
      </c>
      <c r="T81"/>
    </row>
    <row r="82" spans="2:20" x14ac:dyDescent="0.15">
      <c r="B82" s="15">
        <v>0</v>
      </c>
      <c r="C82" s="5" t="s">
        <v>13</v>
      </c>
      <c r="D82" s="4">
        <f>IFERROR(VLOOKUP(C82,enum!B$4:P$30,15,FALSE),"")</f>
        <v>0</v>
      </c>
      <c r="E82" s="5" t="s">
        <v>22</v>
      </c>
      <c r="F82" s="4">
        <f>IFERROR(VLOOKUP(E82,enum!D$4:R$30,13,FALSE),"")</f>
        <v>0</v>
      </c>
      <c r="G82" s="5" t="s">
        <v>31</v>
      </c>
      <c r="H82" s="4">
        <f>IFERROR(VLOOKUP(G82,enum!F$4:T$30,11,FALSE),"")</f>
        <v>0</v>
      </c>
      <c r="I82" s="5" t="s">
        <v>41</v>
      </c>
      <c r="J82" s="4">
        <f>IFERROR(VLOOKUP(I82,enum!H$4:V$30,9,FALSE),"")</f>
        <v>0</v>
      </c>
      <c r="K82" s="5" t="s">
        <v>50</v>
      </c>
      <c r="L82" s="4">
        <f>IFERROR(VLOOKUP(K82,enum!J$4:X$30,7,FALSE),"")</f>
        <v>0</v>
      </c>
      <c r="M82" s="4">
        <v>0</v>
      </c>
      <c r="N82" s="4">
        <v>0</v>
      </c>
      <c r="O82" s="4">
        <v>0</v>
      </c>
      <c r="P82" s="4">
        <v>0</v>
      </c>
      <c r="Q82" s="5" t="s">
        <v>79</v>
      </c>
      <c r="R82" s="4">
        <f>IFERROR(VLOOKUP(Q82,enum!L$4:Q$30,5,FALSE),"")</f>
        <v>0</v>
      </c>
      <c r="S82" s="9">
        <v>0</v>
      </c>
      <c r="T82"/>
    </row>
    <row r="83" spans="2:20" x14ac:dyDescent="0.15">
      <c r="B83" s="15">
        <v>0</v>
      </c>
      <c r="C83" s="5" t="s">
        <v>13</v>
      </c>
      <c r="D83" s="4">
        <f>IFERROR(VLOOKUP(C83,enum!B$4:P$30,15,FALSE),"")</f>
        <v>0</v>
      </c>
      <c r="E83" s="5" t="s">
        <v>22</v>
      </c>
      <c r="F83" s="4">
        <f>IFERROR(VLOOKUP(E83,enum!D$4:R$30,13,FALSE),"")</f>
        <v>0</v>
      </c>
      <c r="G83" s="5" t="s">
        <v>31</v>
      </c>
      <c r="H83" s="4">
        <f>IFERROR(VLOOKUP(G83,enum!F$4:T$30,11,FALSE),"")</f>
        <v>0</v>
      </c>
      <c r="I83" s="5" t="s">
        <v>41</v>
      </c>
      <c r="J83" s="4">
        <f>IFERROR(VLOOKUP(I83,enum!H$4:V$30,9,FALSE),"")</f>
        <v>0</v>
      </c>
      <c r="K83" s="5" t="s">
        <v>50</v>
      </c>
      <c r="L83" s="4">
        <f>IFERROR(VLOOKUP(K83,enum!J$4:X$30,7,FALSE),"")</f>
        <v>0</v>
      </c>
      <c r="M83" s="4">
        <v>0</v>
      </c>
      <c r="N83" s="4">
        <v>0</v>
      </c>
      <c r="O83" s="4">
        <v>0</v>
      </c>
      <c r="P83" s="4">
        <v>0</v>
      </c>
      <c r="Q83" s="5" t="s">
        <v>79</v>
      </c>
      <c r="R83" s="4">
        <f>IFERROR(VLOOKUP(Q83,enum!L$4:Q$30,5,FALSE),"")</f>
        <v>0</v>
      </c>
      <c r="S83" s="9">
        <v>0</v>
      </c>
      <c r="T83"/>
    </row>
    <row r="84" spans="2:20" x14ac:dyDescent="0.15">
      <c r="B84" s="15">
        <v>0</v>
      </c>
      <c r="C84" s="5" t="s">
        <v>13</v>
      </c>
      <c r="D84" s="4">
        <f>IFERROR(VLOOKUP(C84,enum!B$4:P$30,15,FALSE),"")</f>
        <v>0</v>
      </c>
      <c r="E84" s="5" t="s">
        <v>22</v>
      </c>
      <c r="F84" s="4">
        <f>IFERROR(VLOOKUP(E84,enum!D$4:R$30,13,FALSE),"")</f>
        <v>0</v>
      </c>
      <c r="G84" s="5" t="s">
        <v>31</v>
      </c>
      <c r="H84" s="4">
        <f>IFERROR(VLOOKUP(G84,enum!F$4:T$30,11,FALSE),"")</f>
        <v>0</v>
      </c>
      <c r="I84" s="5" t="s">
        <v>41</v>
      </c>
      <c r="J84" s="4">
        <f>IFERROR(VLOOKUP(I84,enum!H$4:V$30,9,FALSE),"")</f>
        <v>0</v>
      </c>
      <c r="K84" s="5" t="s">
        <v>50</v>
      </c>
      <c r="L84" s="4">
        <f>IFERROR(VLOOKUP(K84,enum!J$4:X$30,7,FALSE),"")</f>
        <v>0</v>
      </c>
      <c r="M84" s="4">
        <v>0</v>
      </c>
      <c r="N84" s="4">
        <v>0</v>
      </c>
      <c r="O84" s="4">
        <v>0</v>
      </c>
      <c r="P84" s="4">
        <v>0</v>
      </c>
      <c r="Q84" s="5" t="s">
        <v>79</v>
      </c>
      <c r="R84" s="4">
        <f>IFERROR(VLOOKUP(Q84,enum!L$4:Q$30,5,FALSE),"")</f>
        <v>0</v>
      </c>
      <c r="S84" s="9">
        <v>0</v>
      </c>
      <c r="T84"/>
    </row>
    <row r="85" spans="2:20" x14ac:dyDescent="0.15">
      <c r="B85" s="15">
        <v>0</v>
      </c>
      <c r="C85" s="5" t="s">
        <v>13</v>
      </c>
      <c r="D85" s="4">
        <f>IFERROR(VLOOKUP(C85,enum!B$4:P$30,15,FALSE),"")</f>
        <v>0</v>
      </c>
      <c r="E85" s="5" t="s">
        <v>22</v>
      </c>
      <c r="F85" s="4">
        <f>IFERROR(VLOOKUP(E85,enum!D$4:R$30,13,FALSE),"")</f>
        <v>0</v>
      </c>
      <c r="G85" s="5" t="s">
        <v>31</v>
      </c>
      <c r="H85" s="4">
        <f>IFERROR(VLOOKUP(G85,enum!F$4:T$30,11,FALSE),"")</f>
        <v>0</v>
      </c>
      <c r="I85" s="5" t="s">
        <v>41</v>
      </c>
      <c r="J85" s="4">
        <f>IFERROR(VLOOKUP(I85,enum!H$4:V$30,9,FALSE),"")</f>
        <v>0</v>
      </c>
      <c r="K85" s="5" t="s">
        <v>50</v>
      </c>
      <c r="L85" s="4">
        <f>IFERROR(VLOOKUP(K85,enum!J$4:X$30,7,FALSE),"")</f>
        <v>0</v>
      </c>
      <c r="M85" s="4">
        <v>0</v>
      </c>
      <c r="N85" s="4">
        <v>0</v>
      </c>
      <c r="O85" s="4">
        <v>0</v>
      </c>
      <c r="P85" s="4">
        <v>0</v>
      </c>
      <c r="Q85" s="5" t="s">
        <v>79</v>
      </c>
      <c r="R85" s="4">
        <f>IFERROR(VLOOKUP(Q85,enum!L$4:Q$30,5,FALSE),"")</f>
        <v>0</v>
      </c>
      <c r="S85" s="9">
        <v>0</v>
      </c>
      <c r="T85"/>
    </row>
    <row r="86" spans="2:20" x14ac:dyDescent="0.15">
      <c r="B86" s="15">
        <v>0</v>
      </c>
      <c r="C86" s="5" t="s">
        <v>13</v>
      </c>
      <c r="D86" s="4">
        <f>IFERROR(VLOOKUP(C86,enum!B$4:P$30,15,FALSE),"")</f>
        <v>0</v>
      </c>
      <c r="E86" s="5" t="s">
        <v>22</v>
      </c>
      <c r="F86" s="4">
        <f>IFERROR(VLOOKUP(E86,enum!D$4:R$30,13,FALSE),"")</f>
        <v>0</v>
      </c>
      <c r="G86" s="5" t="s">
        <v>31</v>
      </c>
      <c r="H86" s="4">
        <f>IFERROR(VLOOKUP(G86,enum!F$4:T$30,11,FALSE),"")</f>
        <v>0</v>
      </c>
      <c r="I86" s="5" t="s">
        <v>41</v>
      </c>
      <c r="J86" s="4">
        <f>IFERROR(VLOOKUP(I86,enum!H$4:V$30,9,FALSE),"")</f>
        <v>0</v>
      </c>
      <c r="K86" s="5" t="s">
        <v>50</v>
      </c>
      <c r="L86" s="4">
        <f>IFERROR(VLOOKUP(K86,enum!J$4:X$30,7,FALSE),"")</f>
        <v>0</v>
      </c>
      <c r="M86" s="4">
        <v>0</v>
      </c>
      <c r="N86" s="4">
        <v>0</v>
      </c>
      <c r="O86" s="4">
        <v>0</v>
      </c>
      <c r="P86" s="4">
        <v>0</v>
      </c>
      <c r="Q86" s="5" t="s">
        <v>79</v>
      </c>
      <c r="R86" s="4">
        <f>IFERROR(VLOOKUP(Q86,enum!L$4:Q$30,5,FALSE),"")</f>
        <v>0</v>
      </c>
      <c r="S86" s="9">
        <v>0</v>
      </c>
      <c r="T86"/>
    </row>
    <row r="87" spans="2:20" x14ac:dyDescent="0.15">
      <c r="B87" s="15">
        <v>0</v>
      </c>
      <c r="C87" s="5" t="s">
        <v>13</v>
      </c>
      <c r="D87" s="4">
        <f>IFERROR(VLOOKUP(C87,enum!B$4:P$30,15,FALSE),"")</f>
        <v>0</v>
      </c>
      <c r="E87" s="5" t="s">
        <v>22</v>
      </c>
      <c r="F87" s="4">
        <f>IFERROR(VLOOKUP(E87,enum!D$4:R$30,13,FALSE),"")</f>
        <v>0</v>
      </c>
      <c r="G87" s="5" t="s">
        <v>31</v>
      </c>
      <c r="H87" s="4">
        <f>IFERROR(VLOOKUP(G87,enum!F$4:T$30,11,FALSE),"")</f>
        <v>0</v>
      </c>
      <c r="I87" s="5" t="s">
        <v>41</v>
      </c>
      <c r="J87" s="4">
        <f>IFERROR(VLOOKUP(I87,enum!H$4:V$30,9,FALSE),"")</f>
        <v>0</v>
      </c>
      <c r="K87" s="5" t="s">
        <v>50</v>
      </c>
      <c r="L87" s="4">
        <f>IFERROR(VLOOKUP(K87,enum!J$4:X$30,7,FALSE),"")</f>
        <v>0</v>
      </c>
      <c r="M87" s="4">
        <v>0</v>
      </c>
      <c r="N87" s="4">
        <v>0</v>
      </c>
      <c r="O87" s="4">
        <v>0</v>
      </c>
      <c r="P87" s="4">
        <v>0</v>
      </c>
      <c r="Q87" s="5" t="s">
        <v>79</v>
      </c>
      <c r="R87" s="4">
        <f>IFERROR(VLOOKUP(Q87,enum!L$4:Q$30,5,FALSE),"")</f>
        <v>0</v>
      </c>
      <c r="S87" s="9">
        <v>0</v>
      </c>
      <c r="T87"/>
    </row>
    <row r="88" spans="2:20" x14ac:dyDescent="0.15">
      <c r="B88" s="15">
        <v>0</v>
      </c>
      <c r="C88" s="5" t="s">
        <v>13</v>
      </c>
      <c r="D88" s="4">
        <f>IFERROR(VLOOKUP(C88,enum!B$4:P$30,15,FALSE),"")</f>
        <v>0</v>
      </c>
      <c r="E88" s="5" t="s">
        <v>22</v>
      </c>
      <c r="F88" s="4">
        <f>IFERROR(VLOOKUP(E88,enum!D$4:R$30,13,FALSE),"")</f>
        <v>0</v>
      </c>
      <c r="G88" s="5" t="s">
        <v>31</v>
      </c>
      <c r="H88" s="4">
        <f>IFERROR(VLOOKUP(G88,enum!F$4:T$30,11,FALSE),"")</f>
        <v>0</v>
      </c>
      <c r="I88" s="5" t="s">
        <v>41</v>
      </c>
      <c r="J88" s="4">
        <f>IFERROR(VLOOKUP(I88,enum!H$4:V$30,9,FALSE),"")</f>
        <v>0</v>
      </c>
      <c r="K88" s="5" t="s">
        <v>50</v>
      </c>
      <c r="L88" s="4">
        <f>IFERROR(VLOOKUP(K88,enum!J$4:X$30,7,FALSE),"")</f>
        <v>0</v>
      </c>
      <c r="M88" s="4">
        <v>0</v>
      </c>
      <c r="N88" s="4">
        <v>0</v>
      </c>
      <c r="O88" s="4">
        <v>0</v>
      </c>
      <c r="P88" s="4">
        <v>0</v>
      </c>
      <c r="Q88" s="5" t="s">
        <v>79</v>
      </c>
      <c r="R88" s="4">
        <f>IFERROR(VLOOKUP(Q88,enum!L$4:Q$30,5,FALSE),"")</f>
        <v>0</v>
      </c>
      <c r="S88" s="9">
        <v>0</v>
      </c>
      <c r="T88"/>
    </row>
    <row r="89" spans="2:20" x14ac:dyDescent="0.15">
      <c r="B89" s="15">
        <v>0</v>
      </c>
      <c r="C89" s="5" t="s">
        <v>13</v>
      </c>
      <c r="D89" s="4">
        <f>IFERROR(VLOOKUP(C89,enum!B$4:P$30,15,FALSE),"")</f>
        <v>0</v>
      </c>
      <c r="E89" s="5" t="s">
        <v>22</v>
      </c>
      <c r="F89" s="4">
        <f>IFERROR(VLOOKUP(E89,enum!D$4:R$30,13,FALSE),"")</f>
        <v>0</v>
      </c>
      <c r="G89" s="5" t="s">
        <v>31</v>
      </c>
      <c r="H89" s="4">
        <f>IFERROR(VLOOKUP(G89,enum!F$4:T$30,11,FALSE),"")</f>
        <v>0</v>
      </c>
      <c r="I89" s="5" t="s">
        <v>41</v>
      </c>
      <c r="J89" s="4">
        <f>IFERROR(VLOOKUP(I89,enum!H$4:V$30,9,FALSE),"")</f>
        <v>0</v>
      </c>
      <c r="K89" s="5" t="s">
        <v>50</v>
      </c>
      <c r="L89" s="4">
        <f>IFERROR(VLOOKUP(K89,enum!J$4:X$30,7,FALSE),"")</f>
        <v>0</v>
      </c>
      <c r="M89" s="4">
        <v>0</v>
      </c>
      <c r="N89" s="4">
        <v>0</v>
      </c>
      <c r="O89" s="4">
        <v>0</v>
      </c>
      <c r="P89" s="4">
        <v>0</v>
      </c>
      <c r="Q89" s="5" t="s">
        <v>79</v>
      </c>
      <c r="R89" s="4">
        <f>IFERROR(VLOOKUP(Q89,enum!L$4:Q$30,5,FALSE),"")</f>
        <v>0</v>
      </c>
      <c r="S89" s="9">
        <v>0</v>
      </c>
      <c r="T89"/>
    </row>
    <row r="90" spans="2:20" x14ac:dyDescent="0.15">
      <c r="B90" s="15">
        <v>0</v>
      </c>
      <c r="C90" s="5" t="s">
        <v>13</v>
      </c>
      <c r="D90" s="4">
        <f>IFERROR(VLOOKUP(C90,enum!B$4:P$30,15,FALSE),"")</f>
        <v>0</v>
      </c>
      <c r="E90" s="5" t="s">
        <v>22</v>
      </c>
      <c r="F90" s="4">
        <f>IFERROR(VLOOKUP(E90,enum!D$4:R$30,13,FALSE),"")</f>
        <v>0</v>
      </c>
      <c r="G90" s="5" t="s">
        <v>31</v>
      </c>
      <c r="H90" s="4">
        <f>IFERROR(VLOOKUP(G90,enum!F$4:T$30,11,FALSE),"")</f>
        <v>0</v>
      </c>
      <c r="I90" s="5" t="s">
        <v>41</v>
      </c>
      <c r="J90" s="4">
        <f>IFERROR(VLOOKUP(I90,enum!H$4:V$30,9,FALSE),"")</f>
        <v>0</v>
      </c>
      <c r="K90" s="5" t="s">
        <v>50</v>
      </c>
      <c r="L90" s="4">
        <f>IFERROR(VLOOKUP(K90,enum!J$4:X$30,7,FALSE),"")</f>
        <v>0</v>
      </c>
      <c r="M90" s="4">
        <v>0</v>
      </c>
      <c r="N90" s="4">
        <v>0</v>
      </c>
      <c r="O90" s="4">
        <v>0</v>
      </c>
      <c r="P90" s="4">
        <v>0</v>
      </c>
      <c r="Q90" s="5" t="s">
        <v>79</v>
      </c>
      <c r="R90" s="4">
        <f>IFERROR(VLOOKUP(Q90,enum!L$4:Q$30,5,FALSE),"")</f>
        <v>0</v>
      </c>
      <c r="S90" s="9">
        <v>0</v>
      </c>
      <c r="T90"/>
    </row>
    <row r="91" spans="2:20" x14ac:dyDescent="0.15">
      <c r="B91" s="15">
        <v>0</v>
      </c>
      <c r="C91" s="5" t="s">
        <v>13</v>
      </c>
      <c r="D91" s="4">
        <f>IFERROR(VLOOKUP(C91,enum!B$4:P$30,15,FALSE),"")</f>
        <v>0</v>
      </c>
      <c r="E91" s="5" t="s">
        <v>22</v>
      </c>
      <c r="F91" s="4">
        <f>IFERROR(VLOOKUP(E91,enum!D$4:R$30,13,FALSE),"")</f>
        <v>0</v>
      </c>
      <c r="G91" s="5" t="s">
        <v>31</v>
      </c>
      <c r="H91" s="4">
        <f>IFERROR(VLOOKUP(G91,enum!F$4:T$30,11,FALSE),"")</f>
        <v>0</v>
      </c>
      <c r="I91" s="5" t="s">
        <v>41</v>
      </c>
      <c r="J91" s="4">
        <f>IFERROR(VLOOKUP(I91,enum!H$4:V$30,9,FALSE),"")</f>
        <v>0</v>
      </c>
      <c r="K91" s="5" t="s">
        <v>50</v>
      </c>
      <c r="L91" s="4">
        <f>IFERROR(VLOOKUP(K91,enum!J$4:X$30,7,FALSE),"")</f>
        <v>0</v>
      </c>
      <c r="M91" s="4">
        <v>0</v>
      </c>
      <c r="N91" s="4">
        <v>0</v>
      </c>
      <c r="O91" s="4">
        <v>0</v>
      </c>
      <c r="P91" s="4">
        <v>0</v>
      </c>
      <c r="Q91" s="5" t="s">
        <v>79</v>
      </c>
      <c r="R91" s="4">
        <f>IFERROR(VLOOKUP(Q91,enum!L$4:Q$30,5,FALSE),"")</f>
        <v>0</v>
      </c>
      <c r="S91" s="9">
        <v>0</v>
      </c>
      <c r="T91"/>
    </row>
    <row r="92" spans="2:20" x14ac:dyDescent="0.15">
      <c r="B92" s="15">
        <v>0</v>
      </c>
      <c r="C92" s="5" t="s">
        <v>13</v>
      </c>
      <c r="D92" s="4">
        <f>IFERROR(VLOOKUP(C92,enum!B$4:P$30,15,FALSE),"")</f>
        <v>0</v>
      </c>
      <c r="E92" s="5" t="s">
        <v>22</v>
      </c>
      <c r="F92" s="4">
        <f>IFERROR(VLOOKUP(E92,enum!D$4:R$30,13,FALSE),"")</f>
        <v>0</v>
      </c>
      <c r="G92" s="5" t="s">
        <v>31</v>
      </c>
      <c r="H92" s="4">
        <f>IFERROR(VLOOKUP(G92,enum!F$4:T$30,11,FALSE),"")</f>
        <v>0</v>
      </c>
      <c r="I92" s="5" t="s">
        <v>41</v>
      </c>
      <c r="J92" s="4">
        <f>IFERROR(VLOOKUP(I92,enum!H$4:V$30,9,FALSE),"")</f>
        <v>0</v>
      </c>
      <c r="K92" s="5" t="s">
        <v>50</v>
      </c>
      <c r="L92" s="4">
        <f>IFERROR(VLOOKUP(K92,enum!J$4:X$30,7,FALSE),"")</f>
        <v>0</v>
      </c>
      <c r="M92" s="4">
        <v>0</v>
      </c>
      <c r="N92" s="4">
        <v>0</v>
      </c>
      <c r="O92" s="4">
        <v>0</v>
      </c>
      <c r="P92" s="4">
        <v>0</v>
      </c>
      <c r="Q92" s="5" t="s">
        <v>79</v>
      </c>
      <c r="R92" s="4">
        <f>IFERROR(VLOOKUP(Q92,enum!L$4:Q$30,5,FALSE),"")</f>
        <v>0</v>
      </c>
      <c r="S92" s="9">
        <v>0</v>
      </c>
      <c r="T92"/>
    </row>
    <row r="93" spans="2:20" x14ac:dyDescent="0.15">
      <c r="B93" s="15">
        <v>0</v>
      </c>
      <c r="C93" s="5" t="s">
        <v>13</v>
      </c>
      <c r="D93" s="4">
        <f>IFERROR(VLOOKUP(C93,enum!B$4:P$30,15,FALSE),"")</f>
        <v>0</v>
      </c>
      <c r="E93" s="5" t="s">
        <v>22</v>
      </c>
      <c r="F93" s="4">
        <f>IFERROR(VLOOKUP(E93,enum!D$4:R$30,13,FALSE),"")</f>
        <v>0</v>
      </c>
      <c r="G93" s="5" t="s">
        <v>31</v>
      </c>
      <c r="H93" s="4">
        <f>IFERROR(VLOOKUP(G93,enum!F$4:T$30,11,FALSE),"")</f>
        <v>0</v>
      </c>
      <c r="I93" s="5" t="s">
        <v>41</v>
      </c>
      <c r="J93" s="4">
        <f>IFERROR(VLOOKUP(I93,enum!H$4:V$30,9,FALSE),"")</f>
        <v>0</v>
      </c>
      <c r="K93" s="5" t="s">
        <v>50</v>
      </c>
      <c r="L93" s="4">
        <f>IFERROR(VLOOKUP(K93,enum!J$4:X$30,7,FALSE),"")</f>
        <v>0</v>
      </c>
      <c r="M93" s="4">
        <v>0</v>
      </c>
      <c r="N93" s="4">
        <v>0</v>
      </c>
      <c r="O93" s="4">
        <v>0</v>
      </c>
      <c r="P93" s="4">
        <v>0</v>
      </c>
      <c r="Q93" s="5" t="s">
        <v>79</v>
      </c>
      <c r="R93" s="4">
        <f>IFERROR(VLOOKUP(Q93,enum!L$4:Q$30,5,FALSE),"")</f>
        <v>0</v>
      </c>
      <c r="S93" s="9">
        <v>0</v>
      </c>
      <c r="T93"/>
    </row>
    <row r="94" spans="2:20" x14ac:dyDescent="0.15">
      <c r="B94" s="15">
        <v>0</v>
      </c>
      <c r="C94" s="5" t="s">
        <v>13</v>
      </c>
      <c r="D94" s="4">
        <f>IFERROR(VLOOKUP(C94,enum!B$4:P$30,15,FALSE),"")</f>
        <v>0</v>
      </c>
      <c r="E94" s="5" t="s">
        <v>22</v>
      </c>
      <c r="F94" s="4">
        <f>IFERROR(VLOOKUP(E94,enum!D$4:R$30,13,FALSE),"")</f>
        <v>0</v>
      </c>
      <c r="G94" s="5" t="s">
        <v>31</v>
      </c>
      <c r="H94" s="4">
        <f>IFERROR(VLOOKUP(G94,enum!F$4:T$30,11,FALSE),"")</f>
        <v>0</v>
      </c>
      <c r="I94" s="5" t="s">
        <v>41</v>
      </c>
      <c r="J94" s="4">
        <f>IFERROR(VLOOKUP(I94,enum!H$4:V$30,9,FALSE),"")</f>
        <v>0</v>
      </c>
      <c r="K94" s="5" t="s">
        <v>50</v>
      </c>
      <c r="L94" s="4">
        <f>IFERROR(VLOOKUP(K94,enum!J$4:X$30,7,FALSE),"")</f>
        <v>0</v>
      </c>
      <c r="M94" s="4">
        <v>0</v>
      </c>
      <c r="N94" s="4">
        <v>0</v>
      </c>
      <c r="O94" s="4">
        <v>0</v>
      </c>
      <c r="P94" s="4">
        <v>0</v>
      </c>
      <c r="Q94" s="5" t="s">
        <v>79</v>
      </c>
      <c r="R94" s="4">
        <f>IFERROR(VLOOKUP(Q94,enum!L$4:Q$30,5,FALSE),"")</f>
        <v>0</v>
      </c>
      <c r="S94" s="9">
        <v>0</v>
      </c>
      <c r="T94"/>
    </row>
    <row r="95" spans="2:20" x14ac:dyDescent="0.15">
      <c r="B95" s="15">
        <v>0</v>
      </c>
      <c r="C95" s="5" t="s">
        <v>13</v>
      </c>
      <c r="D95" s="4">
        <f>IFERROR(VLOOKUP(C95,enum!B$4:P$30,15,FALSE),"")</f>
        <v>0</v>
      </c>
      <c r="E95" s="5" t="s">
        <v>22</v>
      </c>
      <c r="F95" s="4">
        <f>IFERROR(VLOOKUP(E95,enum!D$4:R$30,13,FALSE),"")</f>
        <v>0</v>
      </c>
      <c r="G95" s="5" t="s">
        <v>31</v>
      </c>
      <c r="H95" s="4">
        <f>IFERROR(VLOOKUP(G95,enum!F$4:T$30,11,FALSE),"")</f>
        <v>0</v>
      </c>
      <c r="I95" s="5" t="s">
        <v>41</v>
      </c>
      <c r="J95" s="4">
        <f>IFERROR(VLOOKUP(I95,enum!H$4:V$30,9,FALSE),"")</f>
        <v>0</v>
      </c>
      <c r="K95" s="5" t="s">
        <v>50</v>
      </c>
      <c r="L95" s="4">
        <f>IFERROR(VLOOKUP(K95,enum!J$4:X$30,7,FALSE),"")</f>
        <v>0</v>
      </c>
      <c r="M95" s="4">
        <v>0</v>
      </c>
      <c r="N95" s="4">
        <v>0</v>
      </c>
      <c r="O95" s="4">
        <v>0</v>
      </c>
      <c r="P95" s="4">
        <v>0</v>
      </c>
      <c r="Q95" s="5" t="s">
        <v>79</v>
      </c>
      <c r="R95" s="4">
        <f>IFERROR(VLOOKUP(Q95,enum!L$4:Q$30,5,FALSE),"")</f>
        <v>0</v>
      </c>
      <c r="S95" s="9">
        <v>0</v>
      </c>
      <c r="T95"/>
    </row>
    <row r="96" spans="2:20" x14ac:dyDescent="0.15">
      <c r="B96" s="15">
        <v>0</v>
      </c>
      <c r="C96" s="5" t="s">
        <v>13</v>
      </c>
      <c r="D96" s="4">
        <f>IFERROR(VLOOKUP(C96,enum!B$4:P$30,15,FALSE),"")</f>
        <v>0</v>
      </c>
      <c r="E96" s="5" t="s">
        <v>22</v>
      </c>
      <c r="F96" s="4">
        <f>IFERROR(VLOOKUP(E96,enum!D$4:R$30,13,FALSE),"")</f>
        <v>0</v>
      </c>
      <c r="G96" s="5" t="s">
        <v>31</v>
      </c>
      <c r="H96" s="4">
        <f>IFERROR(VLOOKUP(G96,enum!F$4:T$30,11,FALSE),"")</f>
        <v>0</v>
      </c>
      <c r="I96" s="5" t="s">
        <v>41</v>
      </c>
      <c r="J96" s="4">
        <f>IFERROR(VLOOKUP(I96,enum!H$4:V$30,9,FALSE),"")</f>
        <v>0</v>
      </c>
      <c r="K96" s="5" t="s">
        <v>50</v>
      </c>
      <c r="L96" s="4">
        <f>IFERROR(VLOOKUP(K96,enum!J$4:X$30,7,FALSE),"")</f>
        <v>0</v>
      </c>
      <c r="M96" s="4">
        <v>0</v>
      </c>
      <c r="N96" s="4">
        <v>0</v>
      </c>
      <c r="O96" s="4">
        <v>0</v>
      </c>
      <c r="P96" s="4">
        <v>0</v>
      </c>
      <c r="Q96" s="5" t="s">
        <v>79</v>
      </c>
      <c r="R96" s="4">
        <f>IFERROR(VLOOKUP(Q96,enum!L$4:Q$30,5,FALSE),"")</f>
        <v>0</v>
      </c>
      <c r="S96" s="9">
        <v>0</v>
      </c>
      <c r="T96"/>
    </row>
    <row r="97" spans="2:20" x14ac:dyDescent="0.15">
      <c r="B97" s="15">
        <v>0</v>
      </c>
      <c r="C97" s="5" t="s">
        <v>13</v>
      </c>
      <c r="D97" s="4">
        <f>IFERROR(VLOOKUP(C97,enum!B$4:P$30,15,FALSE),"")</f>
        <v>0</v>
      </c>
      <c r="E97" s="5" t="s">
        <v>22</v>
      </c>
      <c r="F97" s="4">
        <f>IFERROR(VLOOKUP(E97,enum!D$4:R$30,13,FALSE),"")</f>
        <v>0</v>
      </c>
      <c r="G97" s="5" t="s">
        <v>31</v>
      </c>
      <c r="H97" s="4">
        <f>IFERROR(VLOOKUP(G97,enum!F$4:T$30,11,FALSE),"")</f>
        <v>0</v>
      </c>
      <c r="I97" s="5" t="s">
        <v>41</v>
      </c>
      <c r="J97" s="4">
        <f>IFERROR(VLOOKUP(I97,enum!H$4:V$30,9,FALSE),"")</f>
        <v>0</v>
      </c>
      <c r="K97" s="5" t="s">
        <v>50</v>
      </c>
      <c r="L97" s="4">
        <f>IFERROR(VLOOKUP(K97,enum!J$4:X$30,7,FALSE),"")</f>
        <v>0</v>
      </c>
      <c r="M97" s="4">
        <v>0</v>
      </c>
      <c r="N97" s="4">
        <v>0</v>
      </c>
      <c r="O97" s="4">
        <v>0</v>
      </c>
      <c r="P97" s="4">
        <v>0</v>
      </c>
      <c r="Q97" s="5" t="s">
        <v>79</v>
      </c>
      <c r="R97" s="4">
        <f>IFERROR(VLOOKUP(Q97,enum!L$4:Q$30,5,FALSE),"")</f>
        <v>0</v>
      </c>
      <c r="S97" s="9">
        <v>0</v>
      </c>
      <c r="T97"/>
    </row>
    <row r="98" spans="2:20" x14ac:dyDescent="0.15">
      <c r="B98" s="15">
        <v>0</v>
      </c>
      <c r="C98" s="5" t="s">
        <v>13</v>
      </c>
      <c r="D98" s="4">
        <f>IFERROR(VLOOKUP(C98,enum!B$4:P$30,15,FALSE),"")</f>
        <v>0</v>
      </c>
      <c r="E98" s="5" t="s">
        <v>22</v>
      </c>
      <c r="F98" s="4">
        <f>IFERROR(VLOOKUP(E98,enum!D$4:R$30,13,FALSE),"")</f>
        <v>0</v>
      </c>
      <c r="G98" s="5" t="s">
        <v>31</v>
      </c>
      <c r="H98" s="4">
        <f>IFERROR(VLOOKUP(G98,enum!F$4:T$30,11,FALSE),"")</f>
        <v>0</v>
      </c>
      <c r="I98" s="5" t="s">
        <v>41</v>
      </c>
      <c r="J98" s="4">
        <f>IFERROR(VLOOKUP(I98,enum!H$4:V$30,9,FALSE),"")</f>
        <v>0</v>
      </c>
      <c r="K98" s="5" t="s">
        <v>50</v>
      </c>
      <c r="L98" s="4">
        <f>IFERROR(VLOOKUP(K98,enum!J$4:X$30,7,FALSE),"")</f>
        <v>0</v>
      </c>
      <c r="M98" s="4">
        <v>0</v>
      </c>
      <c r="N98" s="4">
        <v>0</v>
      </c>
      <c r="O98" s="4">
        <v>0</v>
      </c>
      <c r="P98" s="4">
        <v>0</v>
      </c>
      <c r="Q98" s="5" t="s">
        <v>79</v>
      </c>
      <c r="R98" s="4">
        <f>IFERROR(VLOOKUP(Q98,enum!L$4:Q$30,5,FALSE),"")</f>
        <v>0</v>
      </c>
      <c r="S98" s="9">
        <v>0</v>
      </c>
      <c r="T98"/>
    </row>
    <row r="99" spans="2:20" x14ac:dyDescent="0.15">
      <c r="B99" s="15">
        <v>0</v>
      </c>
      <c r="C99" s="5" t="s">
        <v>13</v>
      </c>
      <c r="D99" s="4">
        <f>IFERROR(VLOOKUP(C99,enum!B$4:P$30,15,FALSE),"")</f>
        <v>0</v>
      </c>
      <c r="E99" s="5" t="s">
        <v>22</v>
      </c>
      <c r="F99" s="4">
        <f>IFERROR(VLOOKUP(E99,enum!D$4:R$30,13,FALSE),"")</f>
        <v>0</v>
      </c>
      <c r="G99" s="5" t="s">
        <v>31</v>
      </c>
      <c r="H99" s="4">
        <f>IFERROR(VLOOKUP(G99,enum!F$4:T$30,11,FALSE),"")</f>
        <v>0</v>
      </c>
      <c r="I99" s="5" t="s">
        <v>41</v>
      </c>
      <c r="J99" s="4">
        <f>IFERROR(VLOOKUP(I99,enum!H$4:V$30,9,FALSE),"")</f>
        <v>0</v>
      </c>
      <c r="K99" s="5" t="s">
        <v>50</v>
      </c>
      <c r="L99" s="4">
        <f>IFERROR(VLOOKUP(K99,enum!J$4:X$30,7,FALSE),"")</f>
        <v>0</v>
      </c>
      <c r="M99" s="4">
        <v>0</v>
      </c>
      <c r="N99" s="4">
        <v>0</v>
      </c>
      <c r="O99" s="4">
        <v>0</v>
      </c>
      <c r="P99" s="4">
        <v>0</v>
      </c>
      <c r="Q99" s="5" t="s">
        <v>79</v>
      </c>
      <c r="R99" s="4">
        <f>IFERROR(VLOOKUP(Q99,enum!L$4:Q$30,5,FALSE),"")</f>
        <v>0</v>
      </c>
      <c r="S99" s="9">
        <v>0</v>
      </c>
      <c r="T99"/>
    </row>
    <row r="100" spans="2:20" x14ac:dyDescent="0.15">
      <c r="B100" s="15">
        <v>0</v>
      </c>
      <c r="C100" s="5" t="s">
        <v>13</v>
      </c>
      <c r="D100" s="4">
        <f>IFERROR(VLOOKUP(C100,enum!B$4:P$30,15,FALSE),"")</f>
        <v>0</v>
      </c>
      <c r="E100" s="5" t="s">
        <v>22</v>
      </c>
      <c r="F100" s="4">
        <f>IFERROR(VLOOKUP(E100,enum!D$4:R$30,13,FALSE),"")</f>
        <v>0</v>
      </c>
      <c r="G100" s="5" t="s">
        <v>31</v>
      </c>
      <c r="H100" s="4">
        <f>IFERROR(VLOOKUP(G100,enum!F$4:T$30,11,FALSE),"")</f>
        <v>0</v>
      </c>
      <c r="I100" s="5" t="s">
        <v>41</v>
      </c>
      <c r="J100" s="4">
        <f>IFERROR(VLOOKUP(I100,enum!H$4:V$30,9,FALSE),"")</f>
        <v>0</v>
      </c>
      <c r="K100" s="5" t="s">
        <v>50</v>
      </c>
      <c r="L100" s="4">
        <f>IFERROR(VLOOKUP(K100,enum!J$4:X$30,7,FALSE),"")</f>
        <v>0</v>
      </c>
      <c r="M100" s="4">
        <v>0</v>
      </c>
      <c r="N100" s="4">
        <v>0</v>
      </c>
      <c r="O100" s="4">
        <v>0</v>
      </c>
      <c r="P100" s="4">
        <v>0</v>
      </c>
      <c r="Q100" s="5" t="s">
        <v>79</v>
      </c>
      <c r="R100" s="4">
        <f>IFERROR(VLOOKUP(Q100,enum!L$4:Q$30,5,FALSE),"")</f>
        <v>0</v>
      </c>
      <c r="S100" s="9">
        <v>0</v>
      </c>
      <c r="T100"/>
    </row>
    <row r="101" spans="2:20" x14ac:dyDescent="0.15">
      <c r="B101" s="15">
        <v>0</v>
      </c>
      <c r="C101" s="5" t="s">
        <v>13</v>
      </c>
      <c r="D101" s="4">
        <f>IFERROR(VLOOKUP(C101,enum!B$4:P$30,15,FALSE),"")</f>
        <v>0</v>
      </c>
      <c r="E101" s="5" t="s">
        <v>22</v>
      </c>
      <c r="F101" s="4">
        <f>IFERROR(VLOOKUP(E101,enum!D$4:R$30,13,FALSE),"")</f>
        <v>0</v>
      </c>
      <c r="G101" s="5" t="s">
        <v>31</v>
      </c>
      <c r="H101" s="4">
        <f>IFERROR(VLOOKUP(G101,enum!F$4:T$30,11,FALSE),"")</f>
        <v>0</v>
      </c>
      <c r="I101" s="5" t="s">
        <v>41</v>
      </c>
      <c r="J101" s="4">
        <f>IFERROR(VLOOKUP(I101,enum!H$4:V$30,9,FALSE),"")</f>
        <v>0</v>
      </c>
      <c r="K101" s="5" t="s">
        <v>50</v>
      </c>
      <c r="L101" s="4">
        <f>IFERROR(VLOOKUP(K101,enum!J$4:X$30,7,FALSE),"")</f>
        <v>0</v>
      </c>
      <c r="M101" s="4">
        <v>0</v>
      </c>
      <c r="N101" s="4">
        <v>0</v>
      </c>
      <c r="O101" s="4">
        <v>0</v>
      </c>
      <c r="P101" s="4">
        <v>0</v>
      </c>
      <c r="Q101" s="5" t="s">
        <v>79</v>
      </c>
      <c r="R101" s="4">
        <f>IFERROR(VLOOKUP(Q101,enum!L$4:Q$30,5,FALSE),"")</f>
        <v>0</v>
      </c>
      <c r="S101" s="9">
        <v>0</v>
      </c>
      <c r="T101"/>
    </row>
    <row r="102" spans="2:20" x14ac:dyDescent="0.15">
      <c r="B102" s="15">
        <v>0</v>
      </c>
      <c r="C102" s="5" t="s">
        <v>13</v>
      </c>
      <c r="D102" s="4">
        <f>IFERROR(VLOOKUP(C102,enum!B$4:P$30,15,FALSE),"")</f>
        <v>0</v>
      </c>
      <c r="E102" s="5" t="s">
        <v>22</v>
      </c>
      <c r="F102" s="4">
        <f>IFERROR(VLOOKUP(E102,enum!D$4:R$30,13,FALSE),"")</f>
        <v>0</v>
      </c>
      <c r="G102" s="5" t="s">
        <v>31</v>
      </c>
      <c r="H102" s="4">
        <f>IFERROR(VLOOKUP(G102,enum!F$4:T$30,11,FALSE),"")</f>
        <v>0</v>
      </c>
      <c r="I102" s="5" t="s">
        <v>41</v>
      </c>
      <c r="J102" s="4">
        <f>IFERROR(VLOOKUP(I102,enum!H$4:V$30,9,FALSE),"")</f>
        <v>0</v>
      </c>
      <c r="K102" s="5" t="s">
        <v>50</v>
      </c>
      <c r="L102" s="4">
        <f>IFERROR(VLOOKUP(K102,enum!J$4:X$30,7,FALSE),"")</f>
        <v>0</v>
      </c>
      <c r="M102" s="4">
        <v>0</v>
      </c>
      <c r="N102" s="4">
        <v>0</v>
      </c>
      <c r="O102" s="4">
        <v>0</v>
      </c>
      <c r="P102" s="4">
        <v>0</v>
      </c>
      <c r="Q102" s="5" t="s">
        <v>79</v>
      </c>
      <c r="R102" s="4">
        <f>IFERROR(VLOOKUP(Q102,enum!L$4:Q$30,5,FALSE),"")</f>
        <v>0</v>
      </c>
      <c r="S102" s="9">
        <v>0</v>
      </c>
      <c r="T102"/>
    </row>
    <row r="103" spans="2:20" x14ac:dyDescent="0.15">
      <c r="B103" s="15">
        <v>0</v>
      </c>
      <c r="C103" s="5" t="s">
        <v>13</v>
      </c>
      <c r="D103" s="4">
        <f>IFERROR(VLOOKUP(C103,enum!B$4:P$30,15,FALSE),"")</f>
        <v>0</v>
      </c>
      <c r="E103" s="5" t="s">
        <v>22</v>
      </c>
      <c r="F103" s="4">
        <f>IFERROR(VLOOKUP(E103,enum!D$4:R$30,13,FALSE),"")</f>
        <v>0</v>
      </c>
      <c r="G103" s="5" t="s">
        <v>31</v>
      </c>
      <c r="H103" s="4">
        <f>IFERROR(VLOOKUP(G103,enum!F$4:T$30,11,FALSE),"")</f>
        <v>0</v>
      </c>
      <c r="I103" s="5" t="s">
        <v>41</v>
      </c>
      <c r="J103" s="4">
        <f>IFERROR(VLOOKUP(I103,enum!H$4:V$30,9,FALSE),"")</f>
        <v>0</v>
      </c>
      <c r="K103" s="5" t="s">
        <v>50</v>
      </c>
      <c r="L103" s="4">
        <f>IFERROR(VLOOKUP(K103,enum!J$4:X$30,7,FALSE),"")</f>
        <v>0</v>
      </c>
      <c r="M103" s="4">
        <v>0</v>
      </c>
      <c r="N103" s="4">
        <v>0</v>
      </c>
      <c r="O103" s="4">
        <v>0</v>
      </c>
      <c r="P103" s="4">
        <v>0</v>
      </c>
      <c r="Q103" s="5" t="s">
        <v>79</v>
      </c>
      <c r="R103" s="4">
        <f>IFERROR(VLOOKUP(Q103,enum!L$4:Q$30,5,FALSE),"")</f>
        <v>0</v>
      </c>
      <c r="S103" s="9">
        <v>0</v>
      </c>
      <c r="T103"/>
    </row>
    <row r="104" spans="2:20" x14ac:dyDescent="0.15">
      <c r="B104" s="15">
        <v>0</v>
      </c>
      <c r="C104" s="5" t="s">
        <v>13</v>
      </c>
      <c r="D104" s="4">
        <f>IFERROR(VLOOKUP(C104,enum!B$4:P$30,15,FALSE),"")</f>
        <v>0</v>
      </c>
      <c r="E104" s="5" t="s">
        <v>22</v>
      </c>
      <c r="F104" s="4">
        <f>IFERROR(VLOOKUP(E104,enum!D$4:R$30,13,FALSE),"")</f>
        <v>0</v>
      </c>
      <c r="G104" s="5" t="s">
        <v>31</v>
      </c>
      <c r="H104" s="4">
        <f>IFERROR(VLOOKUP(G104,enum!F$4:T$30,11,FALSE),"")</f>
        <v>0</v>
      </c>
      <c r="I104" s="5" t="s">
        <v>41</v>
      </c>
      <c r="J104" s="4">
        <f>IFERROR(VLOOKUP(I104,enum!H$4:V$30,9,FALSE),"")</f>
        <v>0</v>
      </c>
      <c r="K104" s="5" t="s">
        <v>50</v>
      </c>
      <c r="L104" s="4">
        <f>IFERROR(VLOOKUP(K104,enum!J$4:X$30,7,FALSE),"")</f>
        <v>0</v>
      </c>
      <c r="M104" s="4">
        <v>0</v>
      </c>
      <c r="N104" s="4">
        <v>0</v>
      </c>
      <c r="O104" s="4">
        <v>0</v>
      </c>
      <c r="P104" s="4">
        <v>0</v>
      </c>
      <c r="Q104" s="5" t="s">
        <v>79</v>
      </c>
      <c r="R104" s="4">
        <f>IFERROR(VLOOKUP(Q104,enum!L$4:Q$30,5,FALSE),"")</f>
        <v>0</v>
      </c>
      <c r="S104" s="9">
        <v>0</v>
      </c>
      <c r="T104"/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ASY">
                <anchor moveWithCells="1" sizeWithCells="1">
                  <from>
                    <xdr:col>6</xdr:col>
                    <xdr:colOff>19050</xdr:colOff>
                    <xdr:row>0</xdr:row>
                    <xdr:rowOff>133350</xdr:rowOff>
                  </from>
                  <to>
                    <xdr:col>10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enum!$B$4:$B$13</xm:f>
          </x14:formula1>
          <xm:sqref>C6:C104</xm:sqref>
        </x14:dataValidation>
        <x14:dataValidation type="list" allowBlank="1" showInputMessage="1" showErrorMessage="1">
          <x14:formula1>
            <xm:f>enum!$D$4:$D$30</xm:f>
          </x14:formula1>
          <xm:sqref>E6:E104</xm:sqref>
        </x14:dataValidation>
        <x14:dataValidation type="list" allowBlank="1" showInputMessage="1" showErrorMessage="1">
          <x14:formula1>
            <xm:f>enum!$F$4:$F$13</xm:f>
          </x14:formula1>
          <xm:sqref>G6:G104</xm:sqref>
        </x14:dataValidation>
        <x14:dataValidation type="list" allowBlank="1" showInputMessage="1" showErrorMessage="1">
          <x14:formula1>
            <xm:f>enum!$H$4:$H$12</xm:f>
          </x14:formula1>
          <xm:sqref>I6:I104</xm:sqref>
        </x14:dataValidation>
        <x14:dataValidation type="list" allowBlank="1" showInputMessage="1" showErrorMessage="1">
          <x14:formula1>
            <xm:f>enum!$J$4:$J$30</xm:f>
          </x14:formula1>
          <xm:sqref>K6:K104</xm:sqref>
        </x14:dataValidation>
        <x14:dataValidation type="list" allowBlank="1" showInputMessage="1" showErrorMessage="1">
          <x14:formula1>
            <xm:f>enum!$L$4:$L$6</xm:f>
          </x14:formula1>
          <xm:sqref>Q6:Q104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T104"/>
  <sheetViews>
    <sheetView zoomScale="130" zoomScaleNormal="130"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Y80" sqref="Y80"/>
    </sheetView>
  </sheetViews>
  <sheetFormatPr defaultRowHeight="13.5" x14ac:dyDescent="0.15"/>
  <cols>
    <col min="2" max="2" width="8" style="2" customWidth="1"/>
    <col min="3" max="3" width="9.625" style="2" customWidth="1"/>
    <col min="4" max="4" width="7.125" hidden="1" customWidth="1"/>
    <col min="5" max="5" width="8" style="2" customWidth="1"/>
    <col min="6" max="6" width="8" hidden="1" customWidth="1"/>
    <col min="7" max="7" width="8" style="2" customWidth="1"/>
    <col min="8" max="8" width="8" hidden="1" customWidth="1"/>
    <col min="9" max="9" width="8.75" style="2" customWidth="1"/>
    <col min="10" max="10" width="8" hidden="1" customWidth="1"/>
    <col min="11" max="11" width="9.25" style="2" customWidth="1"/>
    <col min="12" max="12" width="8" hidden="1" customWidth="1"/>
    <col min="13" max="16" width="8" style="2" customWidth="1"/>
    <col min="17" max="17" width="8.625" style="2" customWidth="1"/>
    <col min="18" max="18" width="8" customWidth="1"/>
    <col min="19" max="19" width="8" style="2" customWidth="1"/>
    <col min="20" max="20" width="8.25" style="2" customWidth="1"/>
  </cols>
  <sheetData>
    <row r="1" spans="2:20" ht="14.25" thickBot="1" x14ac:dyDescent="0.2"/>
    <row r="2" spans="2:20" ht="14.25" thickBot="1" x14ac:dyDescent="0.2">
      <c r="B2" s="23" t="s">
        <v>91</v>
      </c>
      <c r="C2" s="22"/>
    </row>
    <row r="4" spans="2:20" s="2" customFormat="1" hidden="1" x14ac:dyDescent="0.15">
      <c r="B4" s="19" t="s">
        <v>11</v>
      </c>
      <c r="C4" s="20">
        <v>1</v>
      </c>
      <c r="D4" s="20"/>
      <c r="E4" s="20">
        <v>2</v>
      </c>
      <c r="F4" s="20"/>
      <c r="G4" s="20">
        <v>3</v>
      </c>
      <c r="H4" s="20"/>
      <c r="I4" s="20">
        <v>4</v>
      </c>
      <c r="J4" s="20"/>
      <c r="K4" s="20">
        <v>5</v>
      </c>
      <c r="L4" s="20"/>
      <c r="M4" s="20">
        <v>6</v>
      </c>
      <c r="N4" s="20">
        <v>7</v>
      </c>
      <c r="O4" s="20">
        <v>8</v>
      </c>
      <c r="P4" s="20">
        <v>9</v>
      </c>
      <c r="Q4" s="20">
        <v>10</v>
      </c>
      <c r="R4" s="20"/>
      <c r="S4" s="21">
        <v>11</v>
      </c>
    </row>
    <row r="5" spans="2:20" s="10" customFormat="1" ht="26.25" customHeight="1" thickBot="1" x14ac:dyDescent="0.2">
      <c r="B5" s="11" t="s">
        <v>88</v>
      </c>
      <c r="C5" s="12" t="s">
        <v>87</v>
      </c>
      <c r="D5" s="13" t="s">
        <v>81</v>
      </c>
      <c r="E5" s="12" t="s">
        <v>9</v>
      </c>
      <c r="F5" s="13" t="s">
        <v>82</v>
      </c>
      <c r="G5" s="12" t="s">
        <v>0</v>
      </c>
      <c r="H5" s="13" t="s">
        <v>83</v>
      </c>
      <c r="I5" s="12" t="s">
        <v>1</v>
      </c>
      <c r="J5" s="13" t="s">
        <v>84</v>
      </c>
      <c r="K5" s="12" t="s">
        <v>2</v>
      </c>
      <c r="L5" s="13" t="s">
        <v>85</v>
      </c>
      <c r="M5" s="12" t="s">
        <v>3</v>
      </c>
      <c r="N5" s="12" t="s">
        <v>4</v>
      </c>
      <c r="O5" s="12" t="s">
        <v>5</v>
      </c>
      <c r="P5" s="12" t="s">
        <v>6</v>
      </c>
      <c r="Q5" s="12" t="s">
        <v>7</v>
      </c>
      <c r="R5" s="13" t="s">
        <v>86</v>
      </c>
      <c r="S5" s="14" t="s">
        <v>8</v>
      </c>
    </row>
    <row r="6" spans="2:20" x14ac:dyDescent="0.15">
      <c r="B6" s="3">
        <v>200</v>
      </c>
      <c r="C6" s="6" t="s">
        <v>13</v>
      </c>
      <c r="D6" s="7">
        <f>IFERROR(VLOOKUP(C6,enum!B$4:P$30,15,FALSE),"")</f>
        <v>0</v>
      </c>
      <c r="E6" s="6" t="s">
        <v>24</v>
      </c>
      <c r="F6" s="7">
        <f>IFERROR(VLOOKUP(E6,enum!D$4:R$30,13,FALSE),"")</f>
        <v>2</v>
      </c>
      <c r="G6" s="6" t="s">
        <v>35</v>
      </c>
      <c r="H6" s="7">
        <f>IFERROR(VLOOKUP(G6,enum!F$4:T$30,11,FALSE),"")</f>
        <v>4</v>
      </c>
      <c r="I6" s="6" t="s">
        <v>41</v>
      </c>
      <c r="J6" s="7">
        <f>IFERROR(VLOOKUP(I6,enum!H$4:V$30,9,FALSE),"")</f>
        <v>0</v>
      </c>
      <c r="K6" s="6" t="s">
        <v>50</v>
      </c>
      <c r="L6" s="7">
        <f>IFERROR(VLOOKUP(K6,enum!J$4:X$30,7,FALSE),"")</f>
        <v>0</v>
      </c>
      <c r="M6" s="7">
        <v>7</v>
      </c>
      <c r="N6" s="7">
        <v>1</v>
      </c>
      <c r="O6" s="7">
        <v>1</v>
      </c>
      <c r="P6" s="7">
        <v>1</v>
      </c>
      <c r="Q6" s="6" t="s">
        <v>79</v>
      </c>
      <c r="R6" s="7">
        <f>IFERROR(VLOOKUP(Q6,enum!L$4:Q$30,5,FALSE),"")</f>
        <v>0</v>
      </c>
      <c r="S6" s="8">
        <v>0</v>
      </c>
      <c r="T6"/>
    </row>
    <row r="7" spans="2:20" x14ac:dyDescent="0.15">
      <c r="B7" s="15">
        <v>250</v>
      </c>
      <c r="C7" s="6" t="s">
        <v>13</v>
      </c>
      <c r="D7" s="7">
        <f>IFERROR(VLOOKUP(C7,enum!B$4:P$30,15,FALSE),"")</f>
        <v>0</v>
      </c>
      <c r="E7" s="6" t="s">
        <v>24</v>
      </c>
      <c r="F7" s="7">
        <f>IFERROR(VLOOKUP(E7,enum!D$4:R$30,13,FALSE),"")</f>
        <v>2</v>
      </c>
      <c r="G7" s="6" t="s">
        <v>35</v>
      </c>
      <c r="H7" s="7">
        <f>IFERROR(VLOOKUP(G7,enum!F$4:T$30,11,FALSE),"")</f>
        <v>4</v>
      </c>
      <c r="I7" s="6" t="s">
        <v>41</v>
      </c>
      <c r="J7" s="7">
        <f>IFERROR(VLOOKUP(I7,enum!H$4:V$30,9,FALSE),"")</f>
        <v>0</v>
      </c>
      <c r="K7" s="6" t="s">
        <v>50</v>
      </c>
      <c r="L7" s="7">
        <f>IFERROR(VLOOKUP(K7,enum!J$4:X$30,7,FALSE),"")</f>
        <v>0</v>
      </c>
      <c r="M7" s="7">
        <v>7</v>
      </c>
      <c r="N7" s="7">
        <v>1</v>
      </c>
      <c r="O7" s="7">
        <v>1</v>
      </c>
      <c r="P7" s="7">
        <v>1</v>
      </c>
      <c r="Q7" s="6" t="s">
        <v>79</v>
      </c>
      <c r="R7" s="7">
        <f>IFERROR(VLOOKUP(Q7,enum!L$4:Q$30,5,FALSE),"")</f>
        <v>0</v>
      </c>
      <c r="S7" s="8">
        <v>0</v>
      </c>
      <c r="T7"/>
    </row>
    <row r="8" spans="2:20" x14ac:dyDescent="0.15">
      <c r="B8" s="15">
        <v>300</v>
      </c>
      <c r="C8" s="5" t="s">
        <v>13</v>
      </c>
      <c r="D8" s="4">
        <f>IFERROR(VLOOKUP(C8,enum!B$4:P$30,15,FALSE),"")</f>
        <v>0</v>
      </c>
      <c r="E8" s="5" t="s">
        <v>24</v>
      </c>
      <c r="F8" s="4">
        <f>IFERROR(VLOOKUP(E8,enum!D$4:R$30,13,FALSE),"")</f>
        <v>2</v>
      </c>
      <c r="G8" s="5" t="s">
        <v>89</v>
      </c>
      <c r="H8" s="4">
        <f>IFERROR(VLOOKUP(G8,enum!F$4:T$30,11,FALSE),"")</f>
        <v>2</v>
      </c>
      <c r="I8" s="5" t="s">
        <v>41</v>
      </c>
      <c r="J8" s="4">
        <f>IFERROR(VLOOKUP(I8,enum!H$4:V$30,9,FALSE),"")</f>
        <v>0</v>
      </c>
      <c r="K8" s="5" t="s">
        <v>50</v>
      </c>
      <c r="L8" s="4">
        <f>IFERROR(VLOOKUP(K8,enum!J$4:X$30,7,FALSE),"")</f>
        <v>0</v>
      </c>
      <c r="M8" s="7">
        <v>7</v>
      </c>
      <c r="N8" s="7">
        <v>1</v>
      </c>
      <c r="O8" s="7">
        <v>1</v>
      </c>
      <c r="P8" s="7">
        <v>1</v>
      </c>
      <c r="Q8" s="5" t="s">
        <v>79</v>
      </c>
      <c r="R8" s="4">
        <f>IFERROR(VLOOKUP(Q8,enum!L$4:Q$30,5,FALSE),"")</f>
        <v>0</v>
      </c>
      <c r="S8" s="9">
        <v>0</v>
      </c>
      <c r="T8"/>
    </row>
    <row r="9" spans="2:20" x14ac:dyDescent="0.15">
      <c r="B9" s="15">
        <v>400</v>
      </c>
      <c r="C9" s="5" t="s">
        <v>18</v>
      </c>
      <c r="D9" s="4">
        <f>IFERROR(VLOOKUP(C9,enum!B$4:P$30,15,FALSE),"")</f>
        <v>5</v>
      </c>
      <c r="E9" s="5" t="s">
        <v>26</v>
      </c>
      <c r="F9" s="4">
        <f>IFERROR(VLOOKUP(E9,enum!D$4:R$30,13,FALSE),"")</f>
        <v>4</v>
      </c>
      <c r="G9" s="5" t="s">
        <v>35</v>
      </c>
      <c r="H9" s="4">
        <f>IFERROR(VLOOKUP(G9,enum!F$4:T$30,11,FALSE),"")</f>
        <v>4</v>
      </c>
      <c r="I9" s="5" t="s">
        <v>41</v>
      </c>
      <c r="J9" s="4">
        <f>IFERROR(VLOOKUP(I9,enum!H$4:V$30,9,FALSE),"")</f>
        <v>0</v>
      </c>
      <c r="K9" s="5" t="s">
        <v>55</v>
      </c>
      <c r="L9" s="4">
        <f>IFERROR(VLOOKUP(K9,enum!J$4:X$30,7,FALSE),"")</f>
        <v>5</v>
      </c>
      <c r="M9" s="7">
        <v>7</v>
      </c>
      <c r="N9" s="7">
        <v>1</v>
      </c>
      <c r="O9" s="7">
        <v>1</v>
      </c>
      <c r="P9" s="7">
        <v>1</v>
      </c>
      <c r="Q9" s="5" t="s">
        <v>79</v>
      </c>
      <c r="R9" s="4">
        <f>IFERROR(VLOOKUP(Q9,enum!L$4:Q$30,5,FALSE),"")</f>
        <v>0</v>
      </c>
      <c r="S9" s="9">
        <v>0</v>
      </c>
      <c r="T9"/>
    </row>
    <row r="10" spans="2:20" x14ac:dyDescent="0.15">
      <c r="B10" s="15">
        <v>450</v>
      </c>
      <c r="C10" s="5" t="s">
        <v>18</v>
      </c>
      <c r="D10" s="4">
        <f>IFERROR(VLOOKUP(C10,enum!B$4:P$30,15,FALSE),"")</f>
        <v>5</v>
      </c>
      <c r="E10" s="5" t="s">
        <v>26</v>
      </c>
      <c r="F10" s="4">
        <f>IFERROR(VLOOKUP(E10,enum!D$4:R$30,13,FALSE),"")</f>
        <v>4</v>
      </c>
      <c r="G10" s="5" t="s">
        <v>35</v>
      </c>
      <c r="H10" s="4">
        <f>IFERROR(VLOOKUP(G10,enum!F$4:T$30,11,FALSE),"")</f>
        <v>4</v>
      </c>
      <c r="I10" s="5" t="s">
        <v>41</v>
      </c>
      <c r="J10" s="4">
        <f>IFERROR(VLOOKUP(I10,enum!H$4:V$30,9,FALSE),"")</f>
        <v>0</v>
      </c>
      <c r="K10" s="5" t="s">
        <v>55</v>
      </c>
      <c r="L10" s="4">
        <f>IFERROR(VLOOKUP(K10,enum!J$4:X$30,7,FALSE),"")</f>
        <v>5</v>
      </c>
      <c r="M10" s="7">
        <v>7</v>
      </c>
      <c r="N10" s="7">
        <v>1</v>
      </c>
      <c r="O10" s="7">
        <v>1</v>
      </c>
      <c r="P10" s="7">
        <v>1</v>
      </c>
      <c r="Q10" s="5" t="s">
        <v>79</v>
      </c>
      <c r="R10" s="4">
        <f>IFERROR(VLOOKUP(Q10,enum!L$4:Q$30,5,FALSE),"")</f>
        <v>0</v>
      </c>
      <c r="S10" s="9">
        <v>0</v>
      </c>
      <c r="T10"/>
    </row>
    <row r="11" spans="2:20" x14ac:dyDescent="0.15">
      <c r="B11" s="15">
        <v>500</v>
      </c>
      <c r="C11" s="5" t="s">
        <v>18</v>
      </c>
      <c r="D11" s="4">
        <f>IFERROR(VLOOKUP(C11,enum!B$4:P$30,15,FALSE),"")</f>
        <v>5</v>
      </c>
      <c r="E11" s="5" t="s">
        <v>26</v>
      </c>
      <c r="F11" s="4">
        <f>IFERROR(VLOOKUP(E11,enum!D$4:R$30,13,FALSE),"")</f>
        <v>4</v>
      </c>
      <c r="G11" s="5" t="s">
        <v>35</v>
      </c>
      <c r="H11" s="4">
        <f>IFERROR(VLOOKUP(G11,enum!F$4:T$30,11,FALSE),"")</f>
        <v>4</v>
      </c>
      <c r="I11" s="5" t="s">
        <v>41</v>
      </c>
      <c r="J11" s="4">
        <f>IFERROR(VLOOKUP(I11,enum!H$4:V$30,9,FALSE),"")</f>
        <v>0</v>
      </c>
      <c r="K11" s="5" t="s">
        <v>55</v>
      </c>
      <c r="L11" s="4">
        <f>IFERROR(VLOOKUP(K11,enum!J$4:X$30,7,FALSE),"")</f>
        <v>5</v>
      </c>
      <c r="M11" s="7">
        <v>7</v>
      </c>
      <c r="N11" s="7">
        <v>1</v>
      </c>
      <c r="O11" s="7">
        <v>1</v>
      </c>
      <c r="P11" s="7">
        <v>1</v>
      </c>
      <c r="Q11" s="5" t="s">
        <v>79</v>
      </c>
      <c r="R11" s="4">
        <f>IFERROR(VLOOKUP(Q11,enum!L$4:Q$30,5,FALSE),"")</f>
        <v>0</v>
      </c>
      <c r="S11" s="9">
        <v>0</v>
      </c>
      <c r="T11"/>
    </row>
    <row r="12" spans="2:20" x14ac:dyDescent="0.15">
      <c r="B12" s="15">
        <v>600</v>
      </c>
      <c r="C12" s="5" t="s">
        <v>14</v>
      </c>
      <c r="D12" s="4">
        <f>IFERROR(VLOOKUP(C12,enum!B$4:P$30,15,FALSE),"")</f>
        <v>1</v>
      </c>
      <c r="E12" s="5" t="s">
        <v>25</v>
      </c>
      <c r="F12" s="4">
        <f>IFERROR(VLOOKUP(E12,enum!D$4:R$30,13,FALSE),"")</f>
        <v>3</v>
      </c>
      <c r="G12" s="5" t="s">
        <v>35</v>
      </c>
      <c r="H12" s="4">
        <f>IFERROR(VLOOKUP(G12,enum!F$4:T$30,11,FALSE),"")</f>
        <v>4</v>
      </c>
      <c r="I12" s="5" t="s">
        <v>41</v>
      </c>
      <c r="J12" s="4">
        <f>IFERROR(VLOOKUP(I12,enum!H$4:V$30,9,FALSE),"")</f>
        <v>0</v>
      </c>
      <c r="K12" s="5" t="s">
        <v>57</v>
      </c>
      <c r="L12" s="4">
        <f>IFERROR(VLOOKUP(K12,enum!J$4:X$30,7,FALSE),"")</f>
        <v>7</v>
      </c>
      <c r="M12" s="7">
        <v>7</v>
      </c>
      <c r="N12" s="7">
        <v>1</v>
      </c>
      <c r="O12" s="7">
        <v>1</v>
      </c>
      <c r="P12" s="7">
        <v>1</v>
      </c>
      <c r="Q12" s="5" t="s">
        <v>79</v>
      </c>
      <c r="R12" s="4">
        <f>IFERROR(VLOOKUP(Q12,enum!L$4:Q$30,5,FALSE),"")</f>
        <v>0</v>
      </c>
      <c r="S12" s="9">
        <v>0</v>
      </c>
      <c r="T12"/>
    </row>
    <row r="13" spans="2:20" x14ac:dyDescent="0.15">
      <c r="B13" s="15">
        <v>650</v>
      </c>
      <c r="C13" s="5" t="s">
        <v>14</v>
      </c>
      <c r="D13" s="4">
        <f>IFERROR(VLOOKUP(C13,enum!B$4:P$30,15,FALSE),"")</f>
        <v>1</v>
      </c>
      <c r="E13" s="5" t="s">
        <v>25</v>
      </c>
      <c r="F13" s="4">
        <f>IFERROR(VLOOKUP(E13,enum!D$4:R$30,13,FALSE),"")</f>
        <v>3</v>
      </c>
      <c r="G13" s="5" t="s">
        <v>35</v>
      </c>
      <c r="H13" s="4">
        <f>IFERROR(VLOOKUP(G13,enum!F$4:T$30,11,FALSE),"")</f>
        <v>4</v>
      </c>
      <c r="I13" s="5" t="s">
        <v>41</v>
      </c>
      <c r="J13" s="4">
        <f>IFERROR(VLOOKUP(I13,enum!H$4:V$30,9,FALSE),"")</f>
        <v>0</v>
      </c>
      <c r="K13" s="5" t="s">
        <v>57</v>
      </c>
      <c r="L13" s="4">
        <f>IFERROR(VLOOKUP(K13,enum!J$4:X$30,7,FALSE),"")</f>
        <v>7</v>
      </c>
      <c r="M13" s="7">
        <v>7</v>
      </c>
      <c r="N13" s="7">
        <v>1</v>
      </c>
      <c r="O13" s="7">
        <v>1</v>
      </c>
      <c r="P13" s="7">
        <v>1</v>
      </c>
      <c r="Q13" s="5" t="s">
        <v>79</v>
      </c>
      <c r="R13" s="4">
        <f>IFERROR(VLOOKUP(Q13,enum!L$4:Q$30,5,FALSE),"")</f>
        <v>0</v>
      </c>
      <c r="S13" s="9">
        <v>0</v>
      </c>
      <c r="T13"/>
    </row>
    <row r="14" spans="2:20" x14ac:dyDescent="0.15">
      <c r="B14" s="15">
        <v>700</v>
      </c>
      <c r="C14" s="5" t="s">
        <v>14</v>
      </c>
      <c r="D14" s="4">
        <f>IFERROR(VLOOKUP(C14,enum!B$4:P$30,15,FALSE),"")</f>
        <v>1</v>
      </c>
      <c r="E14" s="5" t="s">
        <v>25</v>
      </c>
      <c r="F14" s="4">
        <f>IFERROR(VLOOKUP(E14,enum!D$4:R$30,13,FALSE),"")</f>
        <v>3</v>
      </c>
      <c r="G14" s="5" t="s">
        <v>35</v>
      </c>
      <c r="H14" s="4">
        <f>IFERROR(VLOOKUP(G14,enum!F$4:T$30,11,FALSE),"")</f>
        <v>4</v>
      </c>
      <c r="I14" s="5" t="s">
        <v>41</v>
      </c>
      <c r="J14" s="4">
        <f>IFERROR(VLOOKUP(I14,enum!H$4:V$30,9,FALSE),"")</f>
        <v>0</v>
      </c>
      <c r="K14" s="5" t="s">
        <v>57</v>
      </c>
      <c r="L14" s="4">
        <f>IFERROR(VLOOKUP(K14,enum!J$4:X$30,7,FALSE),"")</f>
        <v>7</v>
      </c>
      <c r="M14" s="7">
        <v>7</v>
      </c>
      <c r="N14" s="7">
        <v>1</v>
      </c>
      <c r="O14" s="7">
        <v>1</v>
      </c>
      <c r="P14" s="7">
        <v>1</v>
      </c>
      <c r="Q14" s="5" t="s">
        <v>79</v>
      </c>
      <c r="R14" s="4">
        <f>IFERROR(VLOOKUP(Q14,enum!L$4:Q$30,5,FALSE),"")</f>
        <v>0</v>
      </c>
      <c r="S14" s="9">
        <v>0</v>
      </c>
      <c r="T14"/>
    </row>
    <row r="15" spans="2:20" x14ac:dyDescent="0.15">
      <c r="B15" s="15">
        <v>800</v>
      </c>
      <c r="C15" s="5" t="s">
        <v>16</v>
      </c>
      <c r="D15" s="4">
        <f>IFERROR(VLOOKUP(C15,enum!B$4:P$30,15,FALSE),"")</f>
        <v>3</v>
      </c>
      <c r="E15" s="5" t="s">
        <v>29</v>
      </c>
      <c r="F15" s="4">
        <f>IFERROR(VLOOKUP(E15,enum!D$4:R$30,13,FALSE),"")</f>
        <v>7</v>
      </c>
      <c r="G15" s="5" t="s">
        <v>35</v>
      </c>
      <c r="H15" s="4">
        <f>IFERROR(VLOOKUP(G15,enum!F$4:T$30,11,FALSE),"")</f>
        <v>4</v>
      </c>
      <c r="I15" s="5" t="s">
        <v>41</v>
      </c>
      <c r="J15" s="4">
        <f>IFERROR(VLOOKUP(I15,enum!H$4:V$30,9,FALSE),"")</f>
        <v>0</v>
      </c>
      <c r="K15" s="5" t="s">
        <v>53</v>
      </c>
      <c r="L15" s="4">
        <f>IFERROR(VLOOKUP(K15,enum!J$4:X$30,7,FALSE),"")</f>
        <v>3</v>
      </c>
      <c r="M15" s="7">
        <v>7</v>
      </c>
      <c r="N15" s="7">
        <v>1</v>
      </c>
      <c r="O15" s="7">
        <v>1</v>
      </c>
      <c r="P15" s="7">
        <v>1</v>
      </c>
      <c r="Q15" s="5" t="s">
        <v>79</v>
      </c>
      <c r="R15" s="4">
        <f>IFERROR(VLOOKUP(Q15,enum!L$4:Q$30,5,FALSE),"")</f>
        <v>0</v>
      </c>
      <c r="S15" s="9">
        <v>0</v>
      </c>
      <c r="T15"/>
    </row>
    <row r="16" spans="2:20" x14ac:dyDescent="0.15">
      <c r="B16" s="15">
        <v>850</v>
      </c>
      <c r="C16" s="5" t="s">
        <v>16</v>
      </c>
      <c r="D16" s="4">
        <f>IFERROR(VLOOKUP(C16,enum!B$4:P$30,15,FALSE),"")</f>
        <v>3</v>
      </c>
      <c r="E16" s="5" t="s">
        <v>29</v>
      </c>
      <c r="F16" s="4">
        <f>IFERROR(VLOOKUP(E16,enum!D$4:R$30,13,FALSE),"")</f>
        <v>7</v>
      </c>
      <c r="G16" s="5" t="s">
        <v>35</v>
      </c>
      <c r="H16" s="4">
        <f>IFERROR(VLOOKUP(G16,enum!F$4:T$30,11,FALSE),"")</f>
        <v>4</v>
      </c>
      <c r="I16" s="5" t="s">
        <v>41</v>
      </c>
      <c r="J16" s="4">
        <f>IFERROR(VLOOKUP(I16,enum!H$4:V$30,9,FALSE),"")</f>
        <v>0</v>
      </c>
      <c r="K16" s="5" t="s">
        <v>53</v>
      </c>
      <c r="L16" s="4">
        <f>IFERROR(VLOOKUP(K16,enum!J$4:X$30,7,FALSE),"")</f>
        <v>3</v>
      </c>
      <c r="M16" s="7">
        <v>7</v>
      </c>
      <c r="N16" s="7">
        <v>1</v>
      </c>
      <c r="O16" s="7">
        <v>1</v>
      </c>
      <c r="P16" s="7">
        <v>1</v>
      </c>
      <c r="Q16" s="5" t="s">
        <v>79</v>
      </c>
      <c r="R16" s="4">
        <f>IFERROR(VLOOKUP(Q16,enum!L$4:Q$30,5,FALSE),"")</f>
        <v>0</v>
      </c>
      <c r="S16" s="9">
        <v>0</v>
      </c>
      <c r="T16"/>
    </row>
    <row r="17" spans="2:20" x14ac:dyDescent="0.15">
      <c r="B17" s="15">
        <v>900</v>
      </c>
      <c r="C17" s="5" t="s">
        <v>16</v>
      </c>
      <c r="D17" s="4">
        <f>IFERROR(VLOOKUP(C17,enum!B$4:P$30,15,FALSE),"")</f>
        <v>3</v>
      </c>
      <c r="E17" s="5" t="s">
        <v>29</v>
      </c>
      <c r="F17" s="4">
        <f>IFERROR(VLOOKUP(E17,enum!D$4:R$30,13,FALSE),"")</f>
        <v>7</v>
      </c>
      <c r="G17" s="5" t="s">
        <v>35</v>
      </c>
      <c r="H17" s="4">
        <f>IFERROR(VLOOKUP(G17,enum!F$4:T$30,11,FALSE),"")</f>
        <v>4</v>
      </c>
      <c r="I17" s="5" t="s">
        <v>41</v>
      </c>
      <c r="J17" s="4">
        <f>IFERROR(VLOOKUP(I17,enum!H$4:V$30,9,FALSE),"")</f>
        <v>0</v>
      </c>
      <c r="K17" s="5" t="s">
        <v>53</v>
      </c>
      <c r="L17" s="4">
        <f>IFERROR(VLOOKUP(K17,enum!J$4:X$30,7,FALSE),"")</f>
        <v>3</v>
      </c>
      <c r="M17" s="7">
        <v>7</v>
      </c>
      <c r="N17" s="7">
        <v>1</v>
      </c>
      <c r="O17" s="7">
        <v>1</v>
      </c>
      <c r="P17" s="7">
        <v>1</v>
      </c>
      <c r="Q17" s="5" t="s">
        <v>79</v>
      </c>
      <c r="R17" s="4">
        <f>IFERROR(VLOOKUP(Q17,enum!L$4:Q$30,5,FALSE),"")</f>
        <v>0</v>
      </c>
      <c r="S17" s="9">
        <v>0</v>
      </c>
      <c r="T17"/>
    </row>
    <row r="18" spans="2:20" x14ac:dyDescent="0.15">
      <c r="B18" s="15">
        <v>900</v>
      </c>
      <c r="C18" s="5" t="s">
        <v>20</v>
      </c>
      <c r="D18" s="4">
        <f>IFERROR(VLOOKUP(C18,enum!B$4:P$30,15,FALSE),"")</f>
        <v>7</v>
      </c>
      <c r="E18" s="5" t="s">
        <v>26</v>
      </c>
      <c r="F18" s="4">
        <f>IFERROR(VLOOKUP(E18,enum!D$4:R$30,13,FALSE),"")</f>
        <v>4</v>
      </c>
      <c r="G18" s="5" t="s">
        <v>38</v>
      </c>
      <c r="H18" s="4">
        <f>IFERROR(VLOOKUP(G18,enum!F$4:T$30,11,FALSE),"")</f>
        <v>7</v>
      </c>
      <c r="I18" s="5" t="s">
        <v>46</v>
      </c>
      <c r="J18" s="4">
        <f>IFERROR(VLOOKUP(I18,enum!H$4:V$30,9,FALSE),"")</f>
        <v>5</v>
      </c>
      <c r="K18" s="5" t="s">
        <v>54</v>
      </c>
      <c r="L18" s="4">
        <f>IFERROR(VLOOKUP(K18,enum!J$4:X$30,7,FALSE),"")</f>
        <v>4</v>
      </c>
      <c r="M18" s="4">
        <v>5</v>
      </c>
      <c r="N18" s="4">
        <v>30</v>
      </c>
      <c r="O18" s="4">
        <v>10</v>
      </c>
      <c r="P18" s="4">
        <v>9</v>
      </c>
      <c r="Q18" s="5" t="s">
        <v>79</v>
      </c>
      <c r="R18" s="4">
        <f>IFERROR(VLOOKUP(Q18,enum!L$4:Q$30,5,FALSE),"")</f>
        <v>0</v>
      </c>
      <c r="S18" s="9">
        <v>0</v>
      </c>
      <c r="T18"/>
    </row>
    <row r="19" spans="2:20" x14ac:dyDescent="0.15">
      <c r="B19" s="15">
        <v>1100</v>
      </c>
      <c r="C19" s="5" t="s">
        <v>20</v>
      </c>
      <c r="D19" s="4">
        <f>IFERROR(VLOOKUP(C19,enum!B$4:P$30,15,FALSE),"")</f>
        <v>7</v>
      </c>
      <c r="E19" s="5" t="s">
        <v>24</v>
      </c>
      <c r="F19" s="4">
        <f>IFERROR(VLOOKUP(E19,enum!D$4:R$30,13,FALSE),"")</f>
        <v>2</v>
      </c>
      <c r="G19" s="5" t="s">
        <v>38</v>
      </c>
      <c r="H19" s="4">
        <f>IFERROR(VLOOKUP(G19,enum!F$4:T$30,11,FALSE),"")</f>
        <v>7</v>
      </c>
      <c r="I19" s="5" t="s">
        <v>46</v>
      </c>
      <c r="J19" s="4">
        <f>IFERROR(VLOOKUP(I19,enum!H$4:V$30,9,FALSE),"")</f>
        <v>5</v>
      </c>
      <c r="K19" s="5" t="s">
        <v>54</v>
      </c>
      <c r="L19" s="4">
        <f>IFERROR(VLOOKUP(K19,enum!J$4:X$30,7,FALSE),"")</f>
        <v>4</v>
      </c>
      <c r="M19" s="4">
        <v>5</v>
      </c>
      <c r="N19" s="4">
        <v>30</v>
      </c>
      <c r="O19" s="4">
        <v>10</v>
      </c>
      <c r="P19" s="4">
        <v>9</v>
      </c>
      <c r="Q19" s="5" t="s">
        <v>79</v>
      </c>
      <c r="R19" s="4">
        <f>IFERROR(VLOOKUP(Q19,enum!L$4:Q$30,5,FALSE),"")</f>
        <v>0</v>
      </c>
      <c r="S19" s="9">
        <v>0</v>
      </c>
      <c r="T19"/>
    </row>
    <row r="20" spans="2:20" x14ac:dyDescent="0.15">
      <c r="B20" s="15">
        <v>1300</v>
      </c>
      <c r="C20" s="5" t="s">
        <v>20</v>
      </c>
      <c r="D20" s="4">
        <f>IFERROR(VLOOKUP(C20,enum!B$4:P$30,15,FALSE),"")</f>
        <v>7</v>
      </c>
      <c r="E20" s="5" t="s">
        <v>28</v>
      </c>
      <c r="F20" s="4">
        <f>IFERROR(VLOOKUP(E20,enum!D$4:R$30,13,FALSE),"")</f>
        <v>6</v>
      </c>
      <c r="G20" s="5" t="s">
        <v>38</v>
      </c>
      <c r="H20" s="4">
        <f>IFERROR(VLOOKUP(G20,enum!F$4:T$30,11,FALSE),"")</f>
        <v>7</v>
      </c>
      <c r="I20" s="5" t="s">
        <v>46</v>
      </c>
      <c r="J20" s="4">
        <f>IFERROR(VLOOKUP(I20,enum!H$4:V$30,9,FALSE),"")</f>
        <v>5</v>
      </c>
      <c r="K20" s="5" t="s">
        <v>54</v>
      </c>
      <c r="L20" s="4">
        <f>IFERROR(VLOOKUP(K20,enum!J$4:X$30,7,FALSE),"")</f>
        <v>4</v>
      </c>
      <c r="M20" s="4">
        <v>5</v>
      </c>
      <c r="N20" s="4">
        <v>30</v>
      </c>
      <c r="O20" s="4">
        <v>10</v>
      </c>
      <c r="P20" s="4">
        <v>9</v>
      </c>
      <c r="Q20" s="5" t="s">
        <v>79</v>
      </c>
      <c r="R20" s="4">
        <f>IFERROR(VLOOKUP(Q20,enum!L$4:Q$30,5,FALSE),"")</f>
        <v>0</v>
      </c>
      <c r="S20" s="9">
        <v>0</v>
      </c>
      <c r="T20"/>
    </row>
    <row r="21" spans="2:20" x14ac:dyDescent="0.15">
      <c r="B21" s="15">
        <v>1350</v>
      </c>
      <c r="C21" s="5" t="s">
        <v>16</v>
      </c>
      <c r="D21" s="4">
        <f>IFERROR(VLOOKUP(C21,enum!B$4:P$30,15,FALSE),"")</f>
        <v>3</v>
      </c>
      <c r="E21" s="5" t="s">
        <v>23</v>
      </c>
      <c r="F21" s="4">
        <f>IFERROR(VLOOKUP(E21,enum!D$4:R$30,13,FALSE),"")</f>
        <v>1</v>
      </c>
      <c r="G21" s="5" t="s">
        <v>31</v>
      </c>
      <c r="H21" s="4">
        <f>IFERROR(VLOOKUP(G21,enum!F$4:T$30,11,FALSE),"")</f>
        <v>0</v>
      </c>
      <c r="I21" s="5" t="s">
        <v>41</v>
      </c>
      <c r="J21" s="4">
        <f>IFERROR(VLOOKUP(I21,enum!H$4:V$30,9,FALSE),"")</f>
        <v>0</v>
      </c>
      <c r="K21" s="5" t="s">
        <v>53</v>
      </c>
      <c r="L21" s="4">
        <f>IFERROR(VLOOKUP(K21,enum!J$4:X$30,7,FALSE),"")</f>
        <v>3</v>
      </c>
      <c r="M21" s="4">
        <v>7</v>
      </c>
      <c r="N21" s="4">
        <v>20</v>
      </c>
      <c r="O21" s="4">
        <v>6</v>
      </c>
      <c r="P21" s="4">
        <v>1</v>
      </c>
      <c r="Q21" s="5" t="s">
        <v>79</v>
      </c>
      <c r="R21" s="4">
        <f>IFERROR(VLOOKUP(Q21,enum!L$4:Q$30,5,FALSE),"")</f>
        <v>0</v>
      </c>
      <c r="S21" s="9">
        <v>0</v>
      </c>
      <c r="T21"/>
    </row>
    <row r="22" spans="2:20" x14ac:dyDescent="0.15">
      <c r="B22" s="15">
        <v>1400</v>
      </c>
      <c r="C22" s="5" t="s">
        <v>16</v>
      </c>
      <c r="D22" s="4">
        <f>IFERROR(VLOOKUP(C22,enum!B$4:P$30,15,FALSE),"")</f>
        <v>3</v>
      </c>
      <c r="E22" s="5" t="s">
        <v>23</v>
      </c>
      <c r="F22" s="4">
        <f>IFERROR(VLOOKUP(E22,enum!D$4:R$30,13,FALSE),"")</f>
        <v>1</v>
      </c>
      <c r="G22" s="5" t="s">
        <v>31</v>
      </c>
      <c r="H22" s="4">
        <f>IFERROR(VLOOKUP(G22,enum!F$4:T$30,11,FALSE),"")</f>
        <v>0</v>
      </c>
      <c r="I22" s="5" t="s">
        <v>41</v>
      </c>
      <c r="J22" s="4">
        <f>IFERROR(VLOOKUP(I22,enum!H$4:V$30,9,FALSE),"")</f>
        <v>0</v>
      </c>
      <c r="K22" s="5" t="s">
        <v>53</v>
      </c>
      <c r="L22" s="4">
        <f>IFERROR(VLOOKUP(K22,enum!J$4:X$30,7,FALSE),"")</f>
        <v>3</v>
      </c>
      <c r="M22" s="4">
        <v>7</v>
      </c>
      <c r="N22" s="4">
        <v>20</v>
      </c>
      <c r="O22" s="4">
        <v>6</v>
      </c>
      <c r="P22" s="4">
        <v>1</v>
      </c>
      <c r="Q22" s="5" t="s">
        <v>79</v>
      </c>
      <c r="R22" s="4">
        <f>IFERROR(VLOOKUP(Q22,enum!L$4:Q$30,5,FALSE),"")</f>
        <v>0</v>
      </c>
      <c r="S22" s="9">
        <v>0</v>
      </c>
      <c r="T22"/>
    </row>
    <row r="23" spans="2:20" x14ac:dyDescent="0.15">
      <c r="B23" s="15">
        <v>1450</v>
      </c>
      <c r="C23" s="5" t="s">
        <v>16</v>
      </c>
      <c r="D23" s="4">
        <f>IFERROR(VLOOKUP(C23,enum!B$4:P$30,15,FALSE),"")</f>
        <v>3</v>
      </c>
      <c r="E23" s="5" t="s">
        <v>23</v>
      </c>
      <c r="F23" s="4">
        <f>IFERROR(VLOOKUP(E23,enum!D$4:R$30,13,FALSE),"")</f>
        <v>1</v>
      </c>
      <c r="G23" s="5" t="s">
        <v>31</v>
      </c>
      <c r="H23" s="4">
        <f>IFERROR(VLOOKUP(G23,enum!F$4:T$30,11,FALSE),"")</f>
        <v>0</v>
      </c>
      <c r="I23" s="5" t="s">
        <v>41</v>
      </c>
      <c r="J23" s="4">
        <f>IFERROR(VLOOKUP(I23,enum!H$4:V$30,9,FALSE),"")</f>
        <v>0</v>
      </c>
      <c r="K23" s="5" t="s">
        <v>53</v>
      </c>
      <c r="L23" s="4">
        <f>IFERROR(VLOOKUP(K23,enum!J$4:X$30,7,FALSE),"")</f>
        <v>3</v>
      </c>
      <c r="M23" s="4">
        <v>7</v>
      </c>
      <c r="N23" s="4">
        <v>20</v>
      </c>
      <c r="O23" s="4">
        <v>6</v>
      </c>
      <c r="P23" s="4">
        <v>1</v>
      </c>
      <c r="Q23" s="5" t="s">
        <v>79</v>
      </c>
      <c r="R23" s="4">
        <f>IFERROR(VLOOKUP(Q23,enum!L$4:Q$30,5,FALSE),"")</f>
        <v>0</v>
      </c>
      <c r="S23" s="9">
        <v>0</v>
      </c>
      <c r="T23"/>
    </row>
    <row r="24" spans="2:20" x14ac:dyDescent="0.15">
      <c r="B24" s="15">
        <v>1550</v>
      </c>
      <c r="C24" s="5" t="s">
        <v>20</v>
      </c>
      <c r="D24" s="4">
        <f>IFERROR(VLOOKUP(C24,enum!B$4:P$30,15,FALSE),"")</f>
        <v>7</v>
      </c>
      <c r="E24" s="5" t="s">
        <v>26</v>
      </c>
      <c r="F24" s="4">
        <f>IFERROR(VLOOKUP(E24,enum!D$4:R$30,13,FALSE),"")</f>
        <v>4</v>
      </c>
      <c r="G24" s="5" t="s">
        <v>38</v>
      </c>
      <c r="H24" s="4">
        <f>IFERROR(VLOOKUP(G24,enum!F$4:T$30,11,FALSE),"")</f>
        <v>7</v>
      </c>
      <c r="I24" s="5" t="s">
        <v>46</v>
      </c>
      <c r="J24" s="4">
        <f>IFERROR(VLOOKUP(I24,enum!H$4:V$30,9,FALSE),"")</f>
        <v>5</v>
      </c>
      <c r="K24" s="5" t="s">
        <v>55</v>
      </c>
      <c r="L24" s="4">
        <f>IFERROR(VLOOKUP(K24,enum!J$4:X$30,7,FALSE),"")</f>
        <v>5</v>
      </c>
      <c r="M24" s="4">
        <v>5</v>
      </c>
      <c r="N24" s="4">
        <v>30</v>
      </c>
      <c r="O24" s="4">
        <v>10</v>
      </c>
      <c r="P24" s="4">
        <v>9</v>
      </c>
      <c r="Q24" s="5" t="s">
        <v>79</v>
      </c>
      <c r="R24" s="4">
        <f>IFERROR(VLOOKUP(Q24,enum!L$4:Q$30,5,FALSE),"")</f>
        <v>0</v>
      </c>
      <c r="S24" s="9">
        <v>0</v>
      </c>
      <c r="T24"/>
    </row>
    <row r="25" spans="2:20" x14ac:dyDescent="0.15">
      <c r="B25" s="15">
        <v>1650</v>
      </c>
      <c r="C25" s="5" t="s">
        <v>13</v>
      </c>
      <c r="D25" s="4">
        <f>IFERROR(VLOOKUP(C25,enum!B$4:P$30,15,FALSE),"")</f>
        <v>0</v>
      </c>
      <c r="E25" s="5" t="s">
        <v>29</v>
      </c>
      <c r="F25" s="4">
        <f>IFERROR(VLOOKUP(E25,enum!D$4:R$30,13,FALSE),"")</f>
        <v>7</v>
      </c>
      <c r="G25" s="5" t="s">
        <v>32</v>
      </c>
      <c r="H25" s="4">
        <f>IFERROR(VLOOKUP(G25,enum!F$4:T$30,11,FALSE),"")</f>
        <v>1</v>
      </c>
      <c r="I25" s="5" t="s">
        <v>41</v>
      </c>
      <c r="J25" s="4">
        <f>IFERROR(VLOOKUP(I25,enum!H$4:V$30,9,FALSE),"")</f>
        <v>0</v>
      </c>
      <c r="K25" s="5" t="s">
        <v>50</v>
      </c>
      <c r="L25" s="4">
        <f>IFERROR(VLOOKUP(K25,enum!J$4:X$30,7,FALSE),"")</f>
        <v>0</v>
      </c>
      <c r="M25" s="4">
        <v>7</v>
      </c>
      <c r="N25" s="4">
        <v>20</v>
      </c>
      <c r="O25" s="4">
        <v>6</v>
      </c>
      <c r="P25" s="4">
        <v>1</v>
      </c>
      <c r="Q25" s="5" t="s">
        <v>79</v>
      </c>
      <c r="R25" s="4">
        <f>IFERROR(VLOOKUP(Q25,enum!L$4:Q$30,5,FALSE),"")</f>
        <v>0</v>
      </c>
      <c r="S25" s="9">
        <v>0</v>
      </c>
      <c r="T25"/>
    </row>
    <row r="26" spans="2:20" x14ac:dyDescent="0.15">
      <c r="B26" s="15">
        <v>1700</v>
      </c>
      <c r="C26" s="5" t="s">
        <v>13</v>
      </c>
      <c r="D26" s="4">
        <f>IFERROR(VLOOKUP(C26,enum!B$4:P$30,15,FALSE),"")</f>
        <v>0</v>
      </c>
      <c r="E26" s="5" t="s">
        <v>29</v>
      </c>
      <c r="F26" s="4">
        <f>IFERROR(VLOOKUP(E26,enum!D$4:R$30,13,FALSE),"")</f>
        <v>7</v>
      </c>
      <c r="G26" s="5" t="s">
        <v>32</v>
      </c>
      <c r="H26" s="4">
        <f>IFERROR(VLOOKUP(G26,enum!F$4:T$30,11,FALSE),"")</f>
        <v>1</v>
      </c>
      <c r="I26" s="5" t="s">
        <v>41</v>
      </c>
      <c r="J26" s="4">
        <f>IFERROR(VLOOKUP(I26,enum!H$4:V$30,9,FALSE),"")</f>
        <v>0</v>
      </c>
      <c r="K26" s="5" t="s">
        <v>50</v>
      </c>
      <c r="L26" s="4">
        <f>IFERROR(VLOOKUP(K26,enum!J$4:X$30,7,FALSE),"")</f>
        <v>0</v>
      </c>
      <c r="M26" s="4">
        <v>7</v>
      </c>
      <c r="N26" s="4">
        <v>20</v>
      </c>
      <c r="O26" s="4">
        <v>6</v>
      </c>
      <c r="P26" s="4">
        <v>1</v>
      </c>
      <c r="Q26" s="5" t="s">
        <v>79</v>
      </c>
      <c r="R26" s="4">
        <f>IFERROR(VLOOKUP(Q26,enum!L$4:Q$30,5,FALSE),"")</f>
        <v>0</v>
      </c>
      <c r="S26" s="9">
        <v>0</v>
      </c>
      <c r="T26"/>
    </row>
    <row r="27" spans="2:20" x14ac:dyDescent="0.15">
      <c r="B27" s="15">
        <v>1750</v>
      </c>
      <c r="C27" s="5" t="s">
        <v>13</v>
      </c>
      <c r="D27" s="4">
        <f>IFERROR(VLOOKUP(C27,enum!B$4:P$30,15,FALSE),"")</f>
        <v>0</v>
      </c>
      <c r="E27" s="5" t="s">
        <v>29</v>
      </c>
      <c r="F27" s="4">
        <f>IFERROR(VLOOKUP(E27,enum!D$4:R$30,13,FALSE),"")</f>
        <v>7</v>
      </c>
      <c r="G27" s="5" t="s">
        <v>32</v>
      </c>
      <c r="H27" s="4">
        <f>IFERROR(VLOOKUP(G27,enum!F$4:T$30,11,FALSE),"")</f>
        <v>1</v>
      </c>
      <c r="I27" s="5" t="s">
        <v>41</v>
      </c>
      <c r="J27" s="4">
        <f>IFERROR(VLOOKUP(I27,enum!H$4:V$30,9,FALSE),"")</f>
        <v>0</v>
      </c>
      <c r="K27" s="5" t="s">
        <v>50</v>
      </c>
      <c r="L27" s="4">
        <f>IFERROR(VLOOKUP(K27,enum!J$4:X$30,7,FALSE),"")</f>
        <v>0</v>
      </c>
      <c r="M27" s="4">
        <v>7</v>
      </c>
      <c r="N27" s="4">
        <v>20</v>
      </c>
      <c r="O27" s="4">
        <v>6</v>
      </c>
      <c r="P27" s="4">
        <v>1</v>
      </c>
      <c r="Q27" s="5" t="s">
        <v>79</v>
      </c>
      <c r="R27" s="4">
        <f>IFERROR(VLOOKUP(Q27,enum!L$4:Q$30,5,FALSE),"")</f>
        <v>0</v>
      </c>
      <c r="S27" s="9">
        <v>0</v>
      </c>
      <c r="T27"/>
    </row>
    <row r="28" spans="2:20" x14ac:dyDescent="0.15">
      <c r="B28" s="15">
        <v>1900</v>
      </c>
      <c r="C28" s="5" t="s">
        <v>20</v>
      </c>
      <c r="D28" s="4">
        <f>IFERROR(VLOOKUP(C28,enum!B$4:P$30,15,FALSE),"")</f>
        <v>7</v>
      </c>
      <c r="E28" s="5" t="s">
        <v>26</v>
      </c>
      <c r="F28" s="4">
        <f>IFERROR(VLOOKUP(E28,enum!D$4:R$30,13,FALSE),"")</f>
        <v>4</v>
      </c>
      <c r="G28" s="5" t="s">
        <v>38</v>
      </c>
      <c r="H28" s="4">
        <f>IFERROR(VLOOKUP(G28,enum!F$4:T$30,11,FALSE),"")</f>
        <v>7</v>
      </c>
      <c r="I28" s="5" t="s">
        <v>47</v>
      </c>
      <c r="J28" s="4">
        <f>IFERROR(VLOOKUP(I28,enum!H$4:V$30,9,FALSE),"")</f>
        <v>6</v>
      </c>
      <c r="K28" s="5" t="s">
        <v>54</v>
      </c>
      <c r="L28" s="4">
        <f>IFERROR(VLOOKUP(K28,enum!J$4:X$30,7,FALSE),"")</f>
        <v>4</v>
      </c>
      <c r="M28" s="4">
        <v>5</v>
      </c>
      <c r="N28" s="4">
        <v>30</v>
      </c>
      <c r="O28" s="4">
        <v>10</v>
      </c>
      <c r="P28" s="4">
        <v>11</v>
      </c>
      <c r="Q28" s="5" t="s">
        <v>79</v>
      </c>
      <c r="R28" s="4">
        <f>IFERROR(VLOOKUP(Q28,enum!L$4:Q$30,5,FALSE),"")</f>
        <v>0</v>
      </c>
      <c r="S28" s="9">
        <v>0</v>
      </c>
      <c r="T28"/>
    </row>
    <row r="29" spans="2:20" x14ac:dyDescent="0.15">
      <c r="B29" s="15">
        <v>2000</v>
      </c>
      <c r="C29" s="5" t="s">
        <v>20</v>
      </c>
      <c r="D29" s="4">
        <f>IFERROR(VLOOKUP(C29,enum!B$4:P$30,15,FALSE),"")</f>
        <v>7</v>
      </c>
      <c r="E29" s="5" t="s">
        <v>28</v>
      </c>
      <c r="F29" s="4">
        <f>IFERROR(VLOOKUP(E29,enum!D$4:R$30,13,FALSE),"")</f>
        <v>6</v>
      </c>
      <c r="G29" s="5" t="s">
        <v>38</v>
      </c>
      <c r="H29" s="4">
        <f>IFERROR(VLOOKUP(G29,enum!F$4:T$30,11,FALSE),"")</f>
        <v>7</v>
      </c>
      <c r="I29" s="5" t="s">
        <v>47</v>
      </c>
      <c r="J29" s="4">
        <f>IFERROR(VLOOKUP(I29,enum!H$4:V$30,9,FALSE),"")</f>
        <v>6</v>
      </c>
      <c r="K29" s="5" t="s">
        <v>54</v>
      </c>
      <c r="L29" s="4">
        <f>IFERROR(VLOOKUP(K29,enum!J$4:X$30,7,FALSE),"")</f>
        <v>4</v>
      </c>
      <c r="M29" s="4">
        <v>5</v>
      </c>
      <c r="N29" s="4">
        <v>30</v>
      </c>
      <c r="O29" s="4">
        <v>10</v>
      </c>
      <c r="P29" s="4">
        <v>11</v>
      </c>
      <c r="Q29" s="5" t="s">
        <v>79</v>
      </c>
      <c r="R29" s="4">
        <f>IFERROR(VLOOKUP(Q29,enum!L$4:Q$30,5,FALSE),"")</f>
        <v>0</v>
      </c>
      <c r="S29" s="9">
        <v>0</v>
      </c>
      <c r="T29"/>
    </row>
    <row r="30" spans="2:20" x14ac:dyDescent="0.15">
      <c r="B30" s="15">
        <v>2100</v>
      </c>
      <c r="C30" s="5" t="s">
        <v>20</v>
      </c>
      <c r="D30" s="4">
        <f>IFERROR(VLOOKUP(C30,enum!B$4:P$30,15,FALSE),"")</f>
        <v>7</v>
      </c>
      <c r="E30" s="5" t="s">
        <v>24</v>
      </c>
      <c r="F30" s="4">
        <f>IFERROR(VLOOKUP(E30,enum!D$4:R$30,13,FALSE),"")</f>
        <v>2</v>
      </c>
      <c r="G30" s="5" t="s">
        <v>38</v>
      </c>
      <c r="H30" s="4">
        <f>IFERROR(VLOOKUP(G30,enum!F$4:T$30,11,FALSE),"")</f>
        <v>7</v>
      </c>
      <c r="I30" s="5" t="s">
        <v>47</v>
      </c>
      <c r="J30" s="4">
        <f>IFERROR(VLOOKUP(I30,enum!H$4:V$30,9,FALSE),"")</f>
        <v>6</v>
      </c>
      <c r="K30" s="5" t="s">
        <v>54</v>
      </c>
      <c r="L30" s="4">
        <f>IFERROR(VLOOKUP(K30,enum!J$4:X$30,7,FALSE),"")</f>
        <v>4</v>
      </c>
      <c r="M30" s="4">
        <v>5</v>
      </c>
      <c r="N30" s="4">
        <v>30</v>
      </c>
      <c r="O30" s="4">
        <v>10</v>
      </c>
      <c r="P30" s="4">
        <v>11</v>
      </c>
      <c r="Q30" s="5" t="s">
        <v>79</v>
      </c>
      <c r="R30" s="4">
        <f>IFERROR(VLOOKUP(Q30,enum!L$4:Q$30,5,FALSE),"")</f>
        <v>0</v>
      </c>
      <c r="S30" s="9">
        <v>0</v>
      </c>
      <c r="T30"/>
    </row>
    <row r="31" spans="2:20" x14ac:dyDescent="0.15">
      <c r="B31" s="15">
        <v>2250</v>
      </c>
      <c r="C31" s="5" t="s">
        <v>16</v>
      </c>
      <c r="D31" s="4">
        <f>IFERROR(VLOOKUP(C31,enum!B$4:P$30,15,FALSE),"")</f>
        <v>3</v>
      </c>
      <c r="E31" s="5" t="s">
        <v>23</v>
      </c>
      <c r="F31" s="4">
        <f>IFERROR(VLOOKUP(E31,enum!D$4:R$30,13,FALSE),"")</f>
        <v>1</v>
      </c>
      <c r="G31" s="5" t="s">
        <v>31</v>
      </c>
      <c r="H31" s="4">
        <f>IFERROR(VLOOKUP(G31,enum!F$4:T$30,11,FALSE),"")</f>
        <v>0</v>
      </c>
      <c r="I31" s="5" t="s">
        <v>41</v>
      </c>
      <c r="J31" s="4">
        <f>IFERROR(VLOOKUP(I31,enum!H$4:V$30,9,FALSE),"")</f>
        <v>0</v>
      </c>
      <c r="K31" s="5" t="s">
        <v>53</v>
      </c>
      <c r="L31" s="4">
        <f>IFERROR(VLOOKUP(K31,enum!J$4:X$30,7,FALSE),"")</f>
        <v>3</v>
      </c>
      <c r="M31" s="4">
        <v>7</v>
      </c>
      <c r="N31" s="4">
        <v>20</v>
      </c>
      <c r="O31" s="4">
        <v>6</v>
      </c>
      <c r="P31" s="4">
        <v>1</v>
      </c>
      <c r="Q31" s="5" t="s">
        <v>79</v>
      </c>
      <c r="R31" s="4">
        <f>IFERROR(VLOOKUP(Q31,enum!L$4:Q$30,5,FALSE),"")</f>
        <v>0</v>
      </c>
      <c r="S31" s="9">
        <v>0</v>
      </c>
      <c r="T31"/>
    </row>
    <row r="32" spans="2:20" x14ac:dyDescent="0.15">
      <c r="B32" s="15">
        <v>2300</v>
      </c>
      <c r="C32" s="5" t="s">
        <v>16</v>
      </c>
      <c r="D32" s="4">
        <f>IFERROR(VLOOKUP(C32,enum!B$4:P$30,15,FALSE),"")</f>
        <v>3</v>
      </c>
      <c r="E32" s="5" t="s">
        <v>23</v>
      </c>
      <c r="F32" s="4">
        <f>IFERROR(VLOOKUP(E32,enum!D$4:R$30,13,FALSE),"")</f>
        <v>1</v>
      </c>
      <c r="G32" s="5" t="s">
        <v>31</v>
      </c>
      <c r="H32" s="4">
        <f>IFERROR(VLOOKUP(G32,enum!F$4:T$30,11,FALSE),"")</f>
        <v>0</v>
      </c>
      <c r="I32" s="5" t="s">
        <v>41</v>
      </c>
      <c r="J32" s="4">
        <f>IFERROR(VLOOKUP(I32,enum!H$4:V$30,9,FALSE),"")</f>
        <v>0</v>
      </c>
      <c r="K32" s="5" t="s">
        <v>53</v>
      </c>
      <c r="L32" s="4">
        <f>IFERROR(VLOOKUP(K32,enum!J$4:X$30,7,FALSE),"")</f>
        <v>3</v>
      </c>
      <c r="M32" s="4">
        <v>7</v>
      </c>
      <c r="N32" s="4">
        <v>20</v>
      </c>
      <c r="O32" s="4">
        <v>6</v>
      </c>
      <c r="P32" s="4">
        <v>1</v>
      </c>
      <c r="Q32" s="5" t="s">
        <v>79</v>
      </c>
      <c r="R32" s="4">
        <f>IFERROR(VLOOKUP(Q32,enum!L$4:Q$30,5,FALSE),"")</f>
        <v>0</v>
      </c>
      <c r="S32" s="9">
        <v>0</v>
      </c>
      <c r="T32"/>
    </row>
    <row r="33" spans="2:20" x14ac:dyDescent="0.15">
      <c r="B33" s="15">
        <v>2350</v>
      </c>
      <c r="C33" s="5" t="s">
        <v>16</v>
      </c>
      <c r="D33" s="4">
        <f>IFERROR(VLOOKUP(C33,enum!B$4:P$30,15,FALSE),"")</f>
        <v>3</v>
      </c>
      <c r="E33" s="5" t="s">
        <v>23</v>
      </c>
      <c r="F33" s="4">
        <f>IFERROR(VLOOKUP(E33,enum!D$4:R$30,13,FALSE),"")</f>
        <v>1</v>
      </c>
      <c r="G33" s="5" t="s">
        <v>31</v>
      </c>
      <c r="H33" s="4">
        <f>IFERROR(VLOOKUP(G33,enum!F$4:T$30,11,FALSE),"")</f>
        <v>0</v>
      </c>
      <c r="I33" s="5" t="s">
        <v>41</v>
      </c>
      <c r="J33" s="4">
        <f>IFERROR(VLOOKUP(I33,enum!H$4:V$30,9,FALSE),"")</f>
        <v>0</v>
      </c>
      <c r="K33" s="5" t="s">
        <v>53</v>
      </c>
      <c r="L33" s="4">
        <f>IFERROR(VLOOKUP(K33,enum!J$4:X$30,7,FALSE),"")</f>
        <v>3</v>
      </c>
      <c r="M33" s="4">
        <v>7</v>
      </c>
      <c r="N33" s="4">
        <v>20</v>
      </c>
      <c r="O33" s="4">
        <v>6</v>
      </c>
      <c r="P33" s="4">
        <v>1</v>
      </c>
      <c r="Q33" s="5" t="s">
        <v>79</v>
      </c>
      <c r="R33" s="4">
        <f>IFERROR(VLOOKUP(Q33,enum!L$4:Q$30,5,FALSE),"")</f>
        <v>0</v>
      </c>
      <c r="S33" s="9">
        <v>0</v>
      </c>
      <c r="T33"/>
    </row>
    <row r="34" spans="2:20" x14ac:dyDescent="0.15">
      <c r="B34" s="15">
        <v>2350</v>
      </c>
      <c r="C34" s="5" t="s">
        <v>17</v>
      </c>
      <c r="D34" s="4">
        <f>IFERROR(VLOOKUP(C34,enum!B$4:P$30,15,FALSE),"")</f>
        <v>4</v>
      </c>
      <c r="E34" s="5" t="s">
        <v>29</v>
      </c>
      <c r="F34" s="4">
        <f>IFERROR(VLOOKUP(E34,enum!D$4:R$30,13,FALSE),"")</f>
        <v>7</v>
      </c>
      <c r="G34" s="5" t="s">
        <v>33</v>
      </c>
      <c r="H34" s="4">
        <f>IFERROR(VLOOKUP(G34,enum!F$4:T$30,11,FALSE),"")</f>
        <v>2</v>
      </c>
      <c r="I34" s="5" t="s">
        <v>41</v>
      </c>
      <c r="J34" s="4">
        <f>IFERROR(VLOOKUP(I34,enum!H$4:V$30,9,FALSE),"")</f>
        <v>0</v>
      </c>
      <c r="K34" s="5" t="s">
        <v>54</v>
      </c>
      <c r="L34" s="4">
        <f>IFERROR(VLOOKUP(K34,enum!J$4:X$30,7,FALSE),"")</f>
        <v>4</v>
      </c>
      <c r="M34" s="4">
        <v>7</v>
      </c>
      <c r="N34" s="4">
        <v>20</v>
      </c>
      <c r="O34" s="4">
        <v>6</v>
      </c>
      <c r="P34" s="4">
        <v>1</v>
      </c>
      <c r="Q34" s="5" t="s">
        <v>79</v>
      </c>
      <c r="R34" s="4">
        <f>IFERROR(VLOOKUP(Q34,enum!L$4:Q$30,5,FALSE),"")</f>
        <v>0</v>
      </c>
      <c r="S34" s="9">
        <v>0</v>
      </c>
      <c r="T34"/>
    </row>
    <row r="35" spans="2:20" x14ac:dyDescent="0.15">
      <c r="B35" s="15">
        <v>2400</v>
      </c>
      <c r="C35" s="5" t="s">
        <v>17</v>
      </c>
      <c r="D35" s="4">
        <f>IFERROR(VLOOKUP(C35,enum!B$4:P$30,15,FALSE),"")</f>
        <v>4</v>
      </c>
      <c r="E35" s="5" t="s">
        <v>29</v>
      </c>
      <c r="F35" s="4">
        <f>IFERROR(VLOOKUP(E35,enum!D$4:R$30,13,FALSE),"")</f>
        <v>7</v>
      </c>
      <c r="G35" s="5" t="s">
        <v>33</v>
      </c>
      <c r="H35" s="4">
        <f>IFERROR(VLOOKUP(G35,enum!F$4:T$30,11,FALSE),"")</f>
        <v>2</v>
      </c>
      <c r="I35" s="5" t="s">
        <v>41</v>
      </c>
      <c r="J35" s="4">
        <f>IFERROR(VLOOKUP(I35,enum!H$4:V$30,9,FALSE),"")</f>
        <v>0</v>
      </c>
      <c r="K35" s="5" t="s">
        <v>54</v>
      </c>
      <c r="L35" s="4">
        <f>IFERROR(VLOOKUP(K35,enum!J$4:X$30,7,FALSE),"")</f>
        <v>4</v>
      </c>
      <c r="M35" s="4">
        <v>7</v>
      </c>
      <c r="N35" s="4">
        <v>20</v>
      </c>
      <c r="O35" s="4">
        <v>6</v>
      </c>
      <c r="P35" s="4">
        <v>1</v>
      </c>
      <c r="Q35" s="5" t="s">
        <v>79</v>
      </c>
      <c r="R35" s="4">
        <f>IFERROR(VLOOKUP(Q35,enum!L$4:Q$30,5,FALSE),"")</f>
        <v>0</v>
      </c>
      <c r="S35" s="9">
        <v>0</v>
      </c>
      <c r="T35"/>
    </row>
    <row r="36" spans="2:20" x14ac:dyDescent="0.15">
      <c r="B36" s="15">
        <v>2450</v>
      </c>
      <c r="C36" s="5" t="s">
        <v>17</v>
      </c>
      <c r="D36" s="4">
        <f>IFERROR(VLOOKUP(C36,enum!B$4:P$30,15,FALSE),"")</f>
        <v>4</v>
      </c>
      <c r="E36" s="5" t="s">
        <v>29</v>
      </c>
      <c r="F36" s="4">
        <f>IFERROR(VLOOKUP(E36,enum!D$4:R$30,13,FALSE),"")</f>
        <v>7</v>
      </c>
      <c r="G36" s="5" t="s">
        <v>33</v>
      </c>
      <c r="H36" s="4">
        <f>IFERROR(VLOOKUP(G36,enum!F$4:T$30,11,FALSE),"")</f>
        <v>2</v>
      </c>
      <c r="I36" s="5" t="s">
        <v>41</v>
      </c>
      <c r="J36" s="4">
        <f>IFERROR(VLOOKUP(I36,enum!H$4:V$30,9,FALSE),"")</f>
        <v>0</v>
      </c>
      <c r="K36" s="5" t="s">
        <v>54</v>
      </c>
      <c r="L36" s="4">
        <f>IFERROR(VLOOKUP(K36,enum!J$4:X$30,7,FALSE),"")</f>
        <v>4</v>
      </c>
      <c r="M36" s="4">
        <v>7</v>
      </c>
      <c r="N36" s="4">
        <v>20</v>
      </c>
      <c r="O36" s="4">
        <v>6</v>
      </c>
      <c r="P36" s="4">
        <v>1</v>
      </c>
      <c r="Q36" s="5" t="s">
        <v>79</v>
      </c>
      <c r="R36" s="4">
        <f>IFERROR(VLOOKUP(Q36,enum!L$4:Q$30,5,FALSE),"")</f>
        <v>0</v>
      </c>
      <c r="S36" s="9">
        <v>0</v>
      </c>
      <c r="T36"/>
    </row>
    <row r="37" spans="2:20" x14ac:dyDescent="0.15">
      <c r="B37" s="15">
        <v>2650</v>
      </c>
      <c r="C37" s="5" t="s">
        <v>15</v>
      </c>
      <c r="D37" s="4">
        <f>IFERROR(VLOOKUP(C37,enum!B$4:P$30,15,FALSE),"")</f>
        <v>2</v>
      </c>
      <c r="E37" s="5" t="s">
        <v>24</v>
      </c>
      <c r="F37" s="4">
        <f>IFERROR(VLOOKUP(E37,enum!D$4:R$30,13,FALSE),"")</f>
        <v>2</v>
      </c>
      <c r="G37" s="5" t="s">
        <v>33</v>
      </c>
      <c r="H37" s="4">
        <f>IFERROR(VLOOKUP(G37,enum!F$4:T$30,11,FALSE),"")</f>
        <v>2</v>
      </c>
      <c r="I37" s="5" t="s">
        <v>41</v>
      </c>
      <c r="J37" s="4">
        <f>IFERROR(VLOOKUP(I37,enum!H$4:V$30,9,FALSE),"")</f>
        <v>0</v>
      </c>
      <c r="K37" s="5" t="s">
        <v>52</v>
      </c>
      <c r="L37" s="4">
        <f>IFERROR(VLOOKUP(K37,enum!J$4:X$30,7,FALSE),"")</f>
        <v>2</v>
      </c>
      <c r="M37" s="4">
        <v>7</v>
      </c>
      <c r="N37" s="4">
        <v>20</v>
      </c>
      <c r="O37" s="4">
        <v>6</v>
      </c>
      <c r="P37" s="4">
        <v>1</v>
      </c>
      <c r="Q37" s="5" t="s">
        <v>79</v>
      </c>
      <c r="R37" s="4">
        <f>IFERROR(VLOOKUP(Q37,enum!L$4:Q$30,5,FALSE),"")</f>
        <v>0</v>
      </c>
      <c r="S37" s="9">
        <v>0</v>
      </c>
      <c r="T37"/>
    </row>
    <row r="38" spans="2:20" x14ac:dyDescent="0.15">
      <c r="B38" s="15">
        <v>2700</v>
      </c>
      <c r="C38" s="5" t="s">
        <v>15</v>
      </c>
      <c r="D38" s="4">
        <f>IFERROR(VLOOKUP(C38,enum!B$4:P$30,15,FALSE),"")</f>
        <v>2</v>
      </c>
      <c r="E38" s="5" t="s">
        <v>24</v>
      </c>
      <c r="F38" s="4">
        <f>IFERROR(VLOOKUP(E38,enum!D$4:R$30,13,FALSE),"")</f>
        <v>2</v>
      </c>
      <c r="G38" s="5" t="s">
        <v>33</v>
      </c>
      <c r="H38" s="4">
        <f>IFERROR(VLOOKUP(G38,enum!F$4:T$30,11,FALSE),"")</f>
        <v>2</v>
      </c>
      <c r="I38" s="5" t="s">
        <v>41</v>
      </c>
      <c r="J38" s="4">
        <f>IFERROR(VLOOKUP(I38,enum!H$4:V$30,9,FALSE),"")</f>
        <v>0</v>
      </c>
      <c r="K38" s="5" t="s">
        <v>52</v>
      </c>
      <c r="L38" s="4">
        <f>IFERROR(VLOOKUP(K38,enum!J$4:X$30,7,FALSE),"")</f>
        <v>2</v>
      </c>
      <c r="M38" s="4">
        <v>7</v>
      </c>
      <c r="N38" s="4">
        <v>20</v>
      </c>
      <c r="O38" s="4">
        <v>6</v>
      </c>
      <c r="P38" s="4">
        <v>1</v>
      </c>
      <c r="Q38" s="5" t="s">
        <v>79</v>
      </c>
      <c r="R38" s="4">
        <f>IFERROR(VLOOKUP(Q38,enum!L$4:Q$30,5,FALSE),"")</f>
        <v>0</v>
      </c>
      <c r="S38" s="9">
        <v>0</v>
      </c>
      <c r="T38"/>
    </row>
    <row r="39" spans="2:20" x14ac:dyDescent="0.15">
      <c r="B39" s="15">
        <v>2750</v>
      </c>
      <c r="C39" s="5" t="s">
        <v>15</v>
      </c>
      <c r="D39" s="4">
        <f>IFERROR(VLOOKUP(C39,enum!B$4:P$30,15,FALSE),"")</f>
        <v>2</v>
      </c>
      <c r="E39" s="5" t="s">
        <v>24</v>
      </c>
      <c r="F39" s="4">
        <f>IFERROR(VLOOKUP(E39,enum!D$4:R$30,13,FALSE),"")</f>
        <v>2</v>
      </c>
      <c r="G39" s="5" t="s">
        <v>33</v>
      </c>
      <c r="H39" s="4">
        <f>IFERROR(VLOOKUP(G39,enum!F$4:T$30,11,FALSE),"")</f>
        <v>2</v>
      </c>
      <c r="I39" s="5" t="s">
        <v>41</v>
      </c>
      <c r="J39" s="4">
        <f>IFERROR(VLOOKUP(I39,enum!H$4:V$30,9,FALSE),"")</f>
        <v>0</v>
      </c>
      <c r="K39" s="5" t="s">
        <v>52</v>
      </c>
      <c r="L39" s="4">
        <f>IFERROR(VLOOKUP(K39,enum!J$4:X$30,7,FALSE),"")</f>
        <v>2</v>
      </c>
      <c r="M39" s="4">
        <v>7</v>
      </c>
      <c r="N39" s="4">
        <v>20</v>
      </c>
      <c r="O39" s="4">
        <v>6</v>
      </c>
      <c r="P39" s="4">
        <v>1</v>
      </c>
      <c r="Q39" s="5" t="s">
        <v>79</v>
      </c>
      <c r="R39" s="4">
        <f>IFERROR(VLOOKUP(Q39,enum!L$4:Q$30,5,FALSE),"")</f>
        <v>0</v>
      </c>
      <c r="S39" s="9">
        <v>0</v>
      </c>
      <c r="T39"/>
    </row>
    <row r="40" spans="2:20" x14ac:dyDescent="0.15">
      <c r="B40" s="15">
        <v>2900</v>
      </c>
      <c r="C40" s="5" t="s">
        <v>21</v>
      </c>
      <c r="D40" s="4">
        <f>IFERROR(VLOOKUP(C40,enum!B$4:P$30,15,FALSE),"")</f>
        <v>8</v>
      </c>
      <c r="E40" s="5" t="s">
        <v>29</v>
      </c>
      <c r="F40" s="4">
        <f>IFERROR(VLOOKUP(E40,enum!D$4:R$30,13,FALSE),"")</f>
        <v>7</v>
      </c>
      <c r="G40" s="5" t="s">
        <v>39</v>
      </c>
      <c r="H40" s="4">
        <f>IFERROR(VLOOKUP(G40,enum!F$4:T$30,11,FALSE),"")</f>
        <v>8</v>
      </c>
      <c r="I40" s="5" t="s">
        <v>42</v>
      </c>
      <c r="J40" s="4">
        <f>IFERROR(VLOOKUP(I40,enum!H$4:V$30,9,FALSE),"")</f>
        <v>1</v>
      </c>
      <c r="K40" s="5" t="s">
        <v>75</v>
      </c>
      <c r="L40" s="4">
        <f>IFERROR(VLOOKUP(K40,enum!J$4:X$30,7,FALSE),"")</f>
        <v>25</v>
      </c>
      <c r="M40" s="4">
        <v>5</v>
      </c>
      <c r="N40" s="4">
        <v>40</v>
      </c>
      <c r="O40" s="4">
        <v>0</v>
      </c>
      <c r="P40" s="4">
        <v>20</v>
      </c>
      <c r="Q40" s="5" t="s">
        <v>79</v>
      </c>
      <c r="R40" s="4">
        <f>IFERROR(VLOOKUP(Q40,enum!L$4:Q$30,5,FALSE),"")</f>
        <v>0</v>
      </c>
      <c r="S40" s="9">
        <v>0</v>
      </c>
      <c r="T40"/>
    </row>
    <row r="41" spans="2:20" x14ac:dyDescent="0.15">
      <c r="B41" s="15">
        <v>2950</v>
      </c>
      <c r="C41" s="5" t="s">
        <v>13</v>
      </c>
      <c r="D41" s="4">
        <f>IFERROR(VLOOKUP(C41,enum!B$4:P$30,15,FALSE),"")</f>
        <v>0</v>
      </c>
      <c r="E41" s="5" t="s">
        <v>24</v>
      </c>
      <c r="F41" s="4">
        <f>IFERROR(VLOOKUP(E41,enum!D$4:R$30,13,FALSE),"")</f>
        <v>2</v>
      </c>
      <c r="G41" s="5" t="s">
        <v>35</v>
      </c>
      <c r="H41" s="4">
        <f>IFERROR(VLOOKUP(G41,enum!F$4:T$30,11,FALSE),"")</f>
        <v>4</v>
      </c>
      <c r="I41" s="5" t="s">
        <v>41</v>
      </c>
      <c r="J41" s="4">
        <f>IFERROR(VLOOKUP(I41,enum!H$4:V$30,9,FALSE),"")</f>
        <v>0</v>
      </c>
      <c r="K41" s="5" t="s">
        <v>50</v>
      </c>
      <c r="L41" s="4">
        <f>IFERROR(VLOOKUP(K41,enum!J$4:X$30,7,FALSE),"")</f>
        <v>0</v>
      </c>
      <c r="M41" s="4">
        <v>7</v>
      </c>
      <c r="N41" s="4">
        <v>1</v>
      </c>
      <c r="O41" s="4">
        <v>1</v>
      </c>
      <c r="P41" s="4">
        <v>1</v>
      </c>
      <c r="Q41" s="5" t="s">
        <v>79</v>
      </c>
      <c r="R41" s="4">
        <f>IFERROR(VLOOKUP(Q41,enum!L$4:Q$30,5,FALSE),"")</f>
        <v>0</v>
      </c>
      <c r="S41" s="9">
        <v>0</v>
      </c>
      <c r="T41"/>
    </row>
    <row r="42" spans="2:20" x14ac:dyDescent="0.15">
      <c r="B42" s="15">
        <v>3000</v>
      </c>
      <c r="C42" s="5" t="s">
        <v>21</v>
      </c>
      <c r="D42" s="4">
        <f>IFERROR(VLOOKUP(C42,enum!B$4:P$30,15,FALSE),"")</f>
        <v>8</v>
      </c>
      <c r="E42" s="5" t="s">
        <v>23</v>
      </c>
      <c r="F42" s="4">
        <f>IFERROR(VLOOKUP(E42,enum!D$4:R$30,13,FALSE),"")</f>
        <v>1</v>
      </c>
      <c r="G42" s="5" t="s">
        <v>39</v>
      </c>
      <c r="H42" s="4">
        <f>IFERROR(VLOOKUP(G42,enum!F$4:T$30,11,FALSE),"")</f>
        <v>8</v>
      </c>
      <c r="I42" s="5" t="s">
        <v>42</v>
      </c>
      <c r="J42" s="4">
        <f>IFERROR(VLOOKUP(I42,enum!H$4:V$30,9,FALSE),"")</f>
        <v>1</v>
      </c>
      <c r="K42" s="5" t="s">
        <v>75</v>
      </c>
      <c r="L42" s="4">
        <f>IFERROR(VLOOKUP(K42,enum!J$4:X$30,7,FALSE),"")</f>
        <v>25</v>
      </c>
      <c r="M42" s="4">
        <v>5</v>
      </c>
      <c r="N42" s="4">
        <v>40</v>
      </c>
      <c r="O42" s="4">
        <v>0</v>
      </c>
      <c r="P42" s="4">
        <v>20</v>
      </c>
      <c r="Q42" s="5" t="s">
        <v>79</v>
      </c>
      <c r="R42" s="4">
        <f>IFERROR(VLOOKUP(Q42,enum!L$4:Q$30,5,FALSE),"")</f>
        <v>0</v>
      </c>
      <c r="S42" s="9">
        <v>0</v>
      </c>
      <c r="T42"/>
    </row>
    <row r="43" spans="2:20" x14ac:dyDescent="0.15">
      <c r="B43" s="15">
        <v>3000</v>
      </c>
      <c r="C43" s="5" t="s">
        <v>13</v>
      </c>
      <c r="D43" s="4">
        <f>IFERROR(VLOOKUP(C43,enum!B$4:P$30,15,FALSE),"")</f>
        <v>0</v>
      </c>
      <c r="E43" s="5" t="s">
        <v>24</v>
      </c>
      <c r="F43" s="4">
        <f>IFERROR(VLOOKUP(E43,enum!D$4:R$30,13,FALSE),"")</f>
        <v>2</v>
      </c>
      <c r="G43" s="5" t="s">
        <v>35</v>
      </c>
      <c r="H43" s="4">
        <f>IFERROR(VLOOKUP(G43,enum!F$4:T$30,11,FALSE),"")</f>
        <v>4</v>
      </c>
      <c r="I43" s="5" t="s">
        <v>41</v>
      </c>
      <c r="J43" s="4">
        <f>IFERROR(VLOOKUP(I43,enum!H$4:V$30,9,FALSE),"")</f>
        <v>0</v>
      </c>
      <c r="K43" s="5" t="s">
        <v>50</v>
      </c>
      <c r="L43" s="4">
        <f>IFERROR(VLOOKUP(K43,enum!J$4:X$30,7,FALSE),"")</f>
        <v>0</v>
      </c>
      <c r="M43" s="4">
        <v>7</v>
      </c>
      <c r="N43" s="4">
        <v>1</v>
      </c>
      <c r="O43" s="4">
        <v>1</v>
      </c>
      <c r="P43" s="4">
        <v>1</v>
      </c>
      <c r="Q43" s="5" t="s">
        <v>79</v>
      </c>
      <c r="R43" s="4">
        <f>IFERROR(VLOOKUP(Q43,enum!L$4:Q$30,5,FALSE),"")</f>
        <v>0</v>
      </c>
      <c r="S43" s="9">
        <v>0</v>
      </c>
      <c r="T43"/>
    </row>
    <row r="44" spans="2:20" x14ac:dyDescent="0.15">
      <c r="B44" s="15">
        <v>3050</v>
      </c>
      <c r="C44" s="5" t="s">
        <v>13</v>
      </c>
      <c r="D44" s="4">
        <f>IFERROR(VLOOKUP(C44,enum!B$4:P$30,15,FALSE),"")</f>
        <v>0</v>
      </c>
      <c r="E44" s="5" t="s">
        <v>24</v>
      </c>
      <c r="F44" s="4">
        <f>IFERROR(VLOOKUP(E44,enum!D$4:R$30,13,FALSE),"")</f>
        <v>2</v>
      </c>
      <c r="G44" s="5" t="s">
        <v>35</v>
      </c>
      <c r="H44" s="4">
        <f>IFERROR(VLOOKUP(G44,enum!F$4:T$30,11,FALSE),"")</f>
        <v>4</v>
      </c>
      <c r="I44" s="5" t="s">
        <v>41</v>
      </c>
      <c r="J44" s="4">
        <f>IFERROR(VLOOKUP(I44,enum!H$4:V$30,9,FALSE),"")</f>
        <v>0</v>
      </c>
      <c r="K44" s="5" t="s">
        <v>50</v>
      </c>
      <c r="L44" s="4">
        <f>IFERROR(VLOOKUP(K44,enum!J$4:X$30,7,FALSE),"")</f>
        <v>0</v>
      </c>
      <c r="M44" s="4">
        <v>7</v>
      </c>
      <c r="N44" s="4">
        <v>1</v>
      </c>
      <c r="O44" s="4">
        <v>1</v>
      </c>
      <c r="P44" s="4">
        <v>1</v>
      </c>
      <c r="Q44" s="5" t="s">
        <v>79</v>
      </c>
      <c r="R44" s="4">
        <f>IFERROR(VLOOKUP(Q44,enum!L$4:Q$30,5,FALSE),"")</f>
        <v>0</v>
      </c>
      <c r="S44" s="9">
        <v>0</v>
      </c>
      <c r="T44"/>
    </row>
    <row r="45" spans="2:20" x14ac:dyDescent="0.15">
      <c r="B45" s="15">
        <v>3100</v>
      </c>
      <c r="C45" s="5" t="s">
        <v>21</v>
      </c>
      <c r="D45" s="4">
        <f>IFERROR(VLOOKUP(C45,enum!B$4:P$30,15,FALSE),"")</f>
        <v>8</v>
      </c>
      <c r="E45" s="5" t="s">
        <v>26</v>
      </c>
      <c r="F45" s="4">
        <f>IFERROR(VLOOKUP(E45,enum!D$4:R$30,13,FALSE),"")</f>
        <v>4</v>
      </c>
      <c r="G45" s="5" t="s">
        <v>39</v>
      </c>
      <c r="H45" s="4">
        <f>IFERROR(VLOOKUP(G45,enum!F$4:T$30,11,FALSE),"")</f>
        <v>8</v>
      </c>
      <c r="I45" s="5" t="s">
        <v>42</v>
      </c>
      <c r="J45" s="4">
        <f>IFERROR(VLOOKUP(I45,enum!H$4:V$30,9,FALSE),"")</f>
        <v>1</v>
      </c>
      <c r="K45" s="5" t="s">
        <v>75</v>
      </c>
      <c r="L45" s="4">
        <f>IFERROR(VLOOKUP(K45,enum!J$4:X$30,7,FALSE),"")</f>
        <v>25</v>
      </c>
      <c r="M45" s="4">
        <v>5</v>
      </c>
      <c r="N45" s="4">
        <v>40</v>
      </c>
      <c r="O45" s="4">
        <v>0</v>
      </c>
      <c r="P45" s="4">
        <v>20</v>
      </c>
      <c r="Q45" s="5" t="s">
        <v>79</v>
      </c>
      <c r="R45" s="4">
        <f>IFERROR(VLOOKUP(Q45,enum!L$4:Q$30,5,FALSE),"")</f>
        <v>0</v>
      </c>
      <c r="S45" s="9">
        <v>0</v>
      </c>
      <c r="T45"/>
    </row>
    <row r="46" spans="2:20" x14ac:dyDescent="0.15">
      <c r="B46" s="15">
        <v>3150</v>
      </c>
      <c r="C46" s="5" t="s">
        <v>18</v>
      </c>
      <c r="D46" s="4">
        <f>IFERROR(VLOOKUP(C46,enum!B$4:P$30,15,FALSE),"")</f>
        <v>5</v>
      </c>
      <c r="E46" s="5" t="s">
        <v>26</v>
      </c>
      <c r="F46" s="4">
        <f>IFERROR(VLOOKUP(E46,enum!D$4:R$30,13,FALSE),"")</f>
        <v>4</v>
      </c>
      <c r="G46" s="5" t="s">
        <v>35</v>
      </c>
      <c r="H46" s="4">
        <f>IFERROR(VLOOKUP(G46,enum!F$4:T$30,11,FALSE),"")</f>
        <v>4</v>
      </c>
      <c r="I46" s="5" t="s">
        <v>41</v>
      </c>
      <c r="J46" s="4">
        <f>IFERROR(VLOOKUP(I46,enum!H$4:V$30,9,FALSE),"")</f>
        <v>0</v>
      </c>
      <c r="K46" s="5" t="s">
        <v>55</v>
      </c>
      <c r="L46" s="4">
        <f>IFERROR(VLOOKUP(K46,enum!J$4:X$30,7,FALSE),"")</f>
        <v>5</v>
      </c>
      <c r="M46" s="4">
        <v>7</v>
      </c>
      <c r="N46" s="4">
        <v>1</v>
      </c>
      <c r="O46" s="4">
        <v>1</v>
      </c>
      <c r="P46" s="4">
        <v>1</v>
      </c>
      <c r="Q46" s="5" t="s">
        <v>79</v>
      </c>
      <c r="R46" s="4">
        <f>IFERROR(VLOOKUP(Q46,enum!L$4:Q$30,5,FALSE),"")</f>
        <v>0</v>
      </c>
      <c r="S46" s="9">
        <v>0</v>
      </c>
      <c r="T46"/>
    </row>
    <row r="47" spans="2:20" x14ac:dyDescent="0.15">
      <c r="B47" s="15">
        <v>3200</v>
      </c>
      <c r="C47" s="5" t="s">
        <v>18</v>
      </c>
      <c r="D47" s="4">
        <f>IFERROR(VLOOKUP(C47,enum!B$4:P$30,15,FALSE),"")</f>
        <v>5</v>
      </c>
      <c r="E47" s="5" t="s">
        <v>26</v>
      </c>
      <c r="F47" s="4">
        <f>IFERROR(VLOOKUP(E47,enum!D$4:R$30,13,FALSE),"")</f>
        <v>4</v>
      </c>
      <c r="G47" s="5" t="s">
        <v>35</v>
      </c>
      <c r="H47" s="4">
        <f>IFERROR(VLOOKUP(G47,enum!F$4:T$30,11,FALSE),"")</f>
        <v>4</v>
      </c>
      <c r="I47" s="5" t="s">
        <v>41</v>
      </c>
      <c r="J47" s="4">
        <f>IFERROR(VLOOKUP(I47,enum!H$4:V$30,9,FALSE),"")</f>
        <v>0</v>
      </c>
      <c r="K47" s="5" t="s">
        <v>55</v>
      </c>
      <c r="L47" s="4">
        <f>IFERROR(VLOOKUP(K47,enum!J$4:X$30,7,FALSE),"")</f>
        <v>5</v>
      </c>
      <c r="M47" s="4">
        <v>7</v>
      </c>
      <c r="N47" s="4">
        <v>1</v>
      </c>
      <c r="O47" s="4">
        <v>1</v>
      </c>
      <c r="P47" s="4">
        <v>1</v>
      </c>
      <c r="Q47" s="5" t="s">
        <v>79</v>
      </c>
      <c r="R47" s="4">
        <f>IFERROR(VLOOKUP(Q47,enum!L$4:Q$30,5,FALSE),"")</f>
        <v>0</v>
      </c>
      <c r="S47" s="9">
        <v>0</v>
      </c>
      <c r="T47"/>
    </row>
    <row r="48" spans="2:20" x14ac:dyDescent="0.15">
      <c r="B48" s="15">
        <v>3250</v>
      </c>
      <c r="C48" s="5" t="s">
        <v>18</v>
      </c>
      <c r="D48" s="4">
        <f>IFERROR(VLOOKUP(C48,enum!B$4:P$30,15,FALSE),"")</f>
        <v>5</v>
      </c>
      <c r="E48" s="5" t="s">
        <v>26</v>
      </c>
      <c r="F48" s="4">
        <f>IFERROR(VLOOKUP(E48,enum!D$4:R$30,13,FALSE),"")</f>
        <v>4</v>
      </c>
      <c r="G48" s="5" t="s">
        <v>35</v>
      </c>
      <c r="H48" s="4">
        <f>IFERROR(VLOOKUP(G48,enum!F$4:T$30,11,FALSE),"")</f>
        <v>4</v>
      </c>
      <c r="I48" s="5" t="s">
        <v>41</v>
      </c>
      <c r="J48" s="4">
        <f>IFERROR(VLOOKUP(I48,enum!H$4:V$30,9,FALSE),"")</f>
        <v>0</v>
      </c>
      <c r="K48" s="5" t="s">
        <v>55</v>
      </c>
      <c r="L48" s="4">
        <f>IFERROR(VLOOKUP(K48,enum!J$4:X$30,7,FALSE),"")</f>
        <v>5</v>
      </c>
      <c r="M48" s="4">
        <v>7</v>
      </c>
      <c r="N48" s="4">
        <v>1</v>
      </c>
      <c r="O48" s="4">
        <v>1</v>
      </c>
      <c r="P48" s="4">
        <v>1</v>
      </c>
      <c r="Q48" s="5" t="s">
        <v>79</v>
      </c>
      <c r="R48" s="4">
        <f>IFERROR(VLOOKUP(Q48,enum!L$4:Q$30,5,FALSE),"")</f>
        <v>0</v>
      </c>
      <c r="S48" s="9">
        <v>0</v>
      </c>
      <c r="T48"/>
    </row>
    <row r="49" spans="2:20" x14ac:dyDescent="0.15">
      <c r="B49" s="15">
        <v>3550</v>
      </c>
      <c r="C49" s="5" t="s">
        <v>20</v>
      </c>
      <c r="D49" s="4">
        <f>IFERROR(VLOOKUP(C49,enum!B$4:P$30,15,FALSE),"")</f>
        <v>7</v>
      </c>
      <c r="E49" s="5" t="s">
        <v>26</v>
      </c>
      <c r="F49" s="4">
        <f>IFERROR(VLOOKUP(E49,enum!D$4:R$30,13,FALSE),"")</f>
        <v>4</v>
      </c>
      <c r="G49" s="5" t="s">
        <v>38</v>
      </c>
      <c r="H49" s="4">
        <f>IFERROR(VLOOKUP(G49,enum!F$4:T$30,11,FALSE),"")</f>
        <v>7</v>
      </c>
      <c r="I49" s="5" t="s">
        <v>46</v>
      </c>
      <c r="J49" s="4">
        <f>IFERROR(VLOOKUP(I49,enum!H$4:V$30,9,FALSE),"")</f>
        <v>5</v>
      </c>
      <c r="K49" s="5" t="s">
        <v>55</v>
      </c>
      <c r="L49" s="4">
        <f>IFERROR(VLOOKUP(K49,enum!J$4:X$30,7,FALSE),"")</f>
        <v>5</v>
      </c>
      <c r="M49" s="4">
        <v>5</v>
      </c>
      <c r="N49" s="4">
        <v>30</v>
      </c>
      <c r="O49" s="4">
        <v>10</v>
      </c>
      <c r="P49" s="4">
        <v>11</v>
      </c>
      <c r="Q49" s="5" t="s">
        <v>79</v>
      </c>
      <c r="R49" s="4">
        <f>IFERROR(VLOOKUP(Q49,enum!L$4:Q$30,5,FALSE),"")</f>
        <v>0</v>
      </c>
      <c r="S49" s="9">
        <v>0</v>
      </c>
      <c r="T49"/>
    </row>
    <row r="50" spans="2:20" x14ac:dyDescent="0.15">
      <c r="B50" s="15">
        <v>3550</v>
      </c>
      <c r="C50" s="5" t="s">
        <v>13</v>
      </c>
      <c r="D50" s="4">
        <f>IFERROR(VLOOKUP(C50,enum!B$4:P$30,15,FALSE),"")</f>
        <v>0</v>
      </c>
      <c r="E50" s="5" t="s">
        <v>29</v>
      </c>
      <c r="F50" s="4">
        <f>IFERROR(VLOOKUP(E50,enum!D$4:R$30,13,FALSE),"")</f>
        <v>7</v>
      </c>
      <c r="G50" s="5" t="s">
        <v>32</v>
      </c>
      <c r="H50" s="4">
        <f>IFERROR(VLOOKUP(G50,enum!F$4:T$30,11,FALSE),"")</f>
        <v>1</v>
      </c>
      <c r="I50" s="5" t="s">
        <v>41</v>
      </c>
      <c r="J50" s="4">
        <f>IFERROR(VLOOKUP(I50,enum!H$4:V$30,9,FALSE),"")</f>
        <v>0</v>
      </c>
      <c r="K50" s="5" t="s">
        <v>50</v>
      </c>
      <c r="L50" s="4">
        <f>IFERROR(VLOOKUP(K50,enum!J$4:X$30,7,FALSE),"")</f>
        <v>0</v>
      </c>
      <c r="M50" s="4">
        <v>7</v>
      </c>
      <c r="N50" s="4">
        <v>20</v>
      </c>
      <c r="O50" s="4">
        <v>6</v>
      </c>
      <c r="P50" s="4">
        <v>1</v>
      </c>
      <c r="Q50" s="5" t="s">
        <v>79</v>
      </c>
      <c r="R50" s="4">
        <f>IFERROR(VLOOKUP(Q50,enum!L$4:Q$30,5,FALSE),"")</f>
        <v>0</v>
      </c>
      <c r="S50" s="9">
        <v>0</v>
      </c>
      <c r="T50"/>
    </row>
    <row r="51" spans="2:20" x14ac:dyDescent="0.15">
      <c r="B51" s="15">
        <v>3600</v>
      </c>
      <c r="C51" s="5" t="s">
        <v>13</v>
      </c>
      <c r="D51" s="4">
        <f>IFERROR(VLOOKUP(C51,enum!B$4:P$30,15,FALSE),"")</f>
        <v>0</v>
      </c>
      <c r="E51" s="5" t="s">
        <v>29</v>
      </c>
      <c r="F51" s="4">
        <f>IFERROR(VLOOKUP(E51,enum!D$4:R$30,13,FALSE),"")</f>
        <v>7</v>
      </c>
      <c r="G51" s="5" t="s">
        <v>32</v>
      </c>
      <c r="H51" s="4">
        <f>IFERROR(VLOOKUP(G51,enum!F$4:T$30,11,FALSE),"")</f>
        <v>1</v>
      </c>
      <c r="I51" s="5" t="s">
        <v>41</v>
      </c>
      <c r="J51" s="4">
        <f>IFERROR(VLOOKUP(I51,enum!H$4:V$30,9,FALSE),"")</f>
        <v>0</v>
      </c>
      <c r="K51" s="5" t="s">
        <v>50</v>
      </c>
      <c r="L51" s="4">
        <f>IFERROR(VLOOKUP(K51,enum!J$4:X$30,7,FALSE),"")</f>
        <v>0</v>
      </c>
      <c r="M51" s="4">
        <v>7</v>
      </c>
      <c r="N51" s="4">
        <v>20</v>
      </c>
      <c r="O51" s="4">
        <v>6</v>
      </c>
      <c r="P51" s="4">
        <v>1</v>
      </c>
      <c r="Q51" s="5" t="s">
        <v>79</v>
      </c>
      <c r="R51" s="4">
        <f>IFERROR(VLOOKUP(Q51,enum!L$4:Q$30,5,FALSE),"")</f>
        <v>0</v>
      </c>
      <c r="S51" s="9">
        <v>0</v>
      </c>
      <c r="T51"/>
    </row>
    <row r="52" spans="2:20" x14ac:dyDescent="0.15">
      <c r="B52" s="15">
        <v>3650</v>
      </c>
      <c r="C52" s="5" t="s">
        <v>13</v>
      </c>
      <c r="D52" s="4">
        <f>IFERROR(VLOOKUP(C52,enum!B$4:P$30,15,FALSE),"")</f>
        <v>0</v>
      </c>
      <c r="E52" s="5" t="s">
        <v>29</v>
      </c>
      <c r="F52" s="4">
        <f>IFERROR(VLOOKUP(E52,enum!D$4:R$30,13,FALSE),"")</f>
        <v>7</v>
      </c>
      <c r="G52" s="5" t="s">
        <v>32</v>
      </c>
      <c r="H52" s="4">
        <f>IFERROR(VLOOKUP(G52,enum!F$4:T$30,11,FALSE),"")</f>
        <v>1</v>
      </c>
      <c r="I52" s="5" t="s">
        <v>41</v>
      </c>
      <c r="J52" s="4">
        <f>IFERROR(VLOOKUP(I52,enum!H$4:V$30,9,FALSE),"")</f>
        <v>0</v>
      </c>
      <c r="K52" s="5" t="s">
        <v>50</v>
      </c>
      <c r="L52" s="4">
        <f>IFERROR(VLOOKUP(K52,enum!J$4:X$30,7,FALSE),"")</f>
        <v>0</v>
      </c>
      <c r="M52" s="4">
        <v>7</v>
      </c>
      <c r="N52" s="4">
        <v>20</v>
      </c>
      <c r="O52" s="4">
        <v>6</v>
      </c>
      <c r="P52" s="4">
        <v>1</v>
      </c>
      <c r="Q52" s="5" t="s">
        <v>79</v>
      </c>
      <c r="R52" s="4">
        <f>IFERROR(VLOOKUP(Q52,enum!L$4:Q$30,5,FALSE),"")</f>
        <v>0</v>
      </c>
      <c r="S52" s="9">
        <v>0</v>
      </c>
      <c r="T52"/>
    </row>
    <row r="53" spans="2:20" x14ac:dyDescent="0.15">
      <c r="B53" s="15">
        <v>3750</v>
      </c>
      <c r="C53" s="5" t="s">
        <v>13</v>
      </c>
      <c r="D53" s="4">
        <f>IFERROR(VLOOKUP(C53,enum!B$4:P$30,15,FALSE),"")</f>
        <v>0</v>
      </c>
      <c r="E53" s="5" t="s">
        <v>29</v>
      </c>
      <c r="F53" s="4">
        <f>IFERROR(VLOOKUP(E53,enum!D$4:R$30,13,FALSE),"")</f>
        <v>7</v>
      </c>
      <c r="G53" s="5" t="s">
        <v>35</v>
      </c>
      <c r="H53" s="4">
        <f>IFERROR(VLOOKUP(G53,enum!F$4:T$30,11,FALSE),"")</f>
        <v>4</v>
      </c>
      <c r="I53" s="5" t="s">
        <v>41</v>
      </c>
      <c r="J53" s="4">
        <f>IFERROR(VLOOKUP(I53,enum!H$4:V$30,9,FALSE),"")</f>
        <v>0</v>
      </c>
      <c r="K53" s="5" t="s">
        <v>50</v>
      </c>
      <c r="L53" s="4">
        <f>IFERROR(VLOOKUP(K53,enum!J$4:X$30,7,FALSE),"")</f>
        <v>0</v>
      </c>
      <c r="M53" s="4">
        <v>7</v>
      </c>
      <c r="N53" s="4">
        <v>1</v>
      </c>
      <c r="O53" s="4">
        <v>1</v>
      </c>
      <c r="P53" s="4">
        <v>1</v>
      </c>
      <c r="Q53" s="5" t="s">
        <v>79</v>
      </c>
      <c r="R53" s="4">
        <f>IFERROR(VLOOKUP(Q53,enum!L$4:Q$30,5,FALSE),"")</f>
        <v>0</v>
      </c>
      <c r="S53" s="9">
        <v>0</v>
      </c>
      <c r="T53"/>
    </row>
    <row r="54" spans="2:20" x14ac:dyDescent="0.15">
      <c r="B54" s="15">
        <v>3800</v>
      </c>
      <c r="C54" s="5" t="s">
        <v>13</v>
      </c>
      <c r="D54" s="4">
        <f>IFERROR(VLOOKUP(C54,enum!B$4:P$30,15,FALSE),"")</f>
        <v>0</v>
      </c>
      <c r="E54" s="5" t="s">
        <v>29</v>
      </c>
      <c r="F54" s="4">
        <f>IFERROR(VLOOKUP(E54,enum!D$4:R$30,13,FALSE),"")</f>
        <v>7</v>
      </c>
      <c r="G54" s="5" t="s">
        <v>35</v>
      </c>
      <c r="H54" s="4">
        <f>IFERROR(VLOOKUP(G54,enum!F$4:T$30,11,FALSE),"")</f>
        <v>4</v>
      </c>
      <c r="I54" s="5" t="s">
        <v>41</v>
      </c>
      <c r="J54" s="4">
        <f>IFERROR(VLOOKUP(I54,enum!H$4:V$30,9,FALSE),"")</f>
        <v>0</v>
      </c>
      <c r="K54" s="5" t="s">
        <v>50</v>
      </c>
      <c r="L54" s="4">
        <f>IFERROR(VLOOKUP(K54,enum!J$4:X$30,7,FALSE),"")</f>
        <v>0</v>
      </c>
      <c r="M54" s="4">
        <v>7</v>
      </c>
      <c r="N54" s="4">
        <v>1</v>
      </c>
      <c r="O54" s="4">
        <v>1</v>
      </c>
      <c r="P54" s="4">
        <v>1</v>
      </c>
      <c r="Q54" s="5" t="s">
        <v>79</v>
      </c>
      <c r="R54" s="4">
        <f>IFERROR(VLOOKUP(Q54,enum!L$4:Q$30,5,FALSE),"")</f>
        <v>0</v>
      </c>
      <c r="S54" s="9">
        <v>0</v>
      </c>
      <c r="T54"/>
    </row>
    <row r="55" spans="2:20" x14ac:dyDescent="0.15">
      <c r="B55" s="15">
        <v>3800</v>
      </c>
      <c r="C55" s="5" t="s">
        <v>20</v>
      </c>
      <c r="D55" s="4">
        <f>IFERROR(VLOOKUP(C55,enum!B$4:P$30,15,FALSE),"")</f>
        <v>7</v>
      </c>
      <c r="E55" s="5" t="s">
        <v>26</v>
      </c>
      <c r="F55" s="4">
        <f>IFERROR(VLOOKUP(E55,enum!D$4:R$30,13,FALSE),"")</f>
        <v>4</v>
      </c>
      <c r="G55" s="5" t="s">
        <v>38</v>
      </c>
      <c r="H55" s="4">
        <f>IFERROR(VLOOKUP(G55,enum!F$4:T$30,11,FALSE),"")</f>
        <v>7</v>
      </c>
      <c r="I55" s="5" t="s">
        <v>46</v>
      </c>
      <c r="J55" s="4">
        <f>IFERROR(VLOOKUP(I55,enum!H$4:V$30,9,FALSE),"")</f>
        <v>5</v>
      </c>
      <c r="K55" s="5" t="s">
        <v>54</v>
      </c>
      <c r="L55" s="4">
        <f>IFERROR(VLOOKUP(K55,enum!J$4:X$30,7,FALSE),"")</f>
        <v>4</v>
      </c>
      <c r="M55" s="4">
        <v>5</v>
      </c>
      <c r="N55" s="4">
        <v>30</v>
      </c>
      <c r="O55" s="4">
        <v>10</v>
      </c>
      <c r="P55" s="4">
        <v>11</v>
      </c>
      <c r="Q55" s="5" t="s">
        <v>79</v>
      </c>
      <c r="R55" s="4">
        <f>IFERROR(VLOOKUP(Q55,enum!L$4:Q$30,5,FALSE),"")</f>
        <v>0</v>
      </c>
      <c r="S55" s="9">
        <v>0</v>
      </c>
      <c r="T55"/>
    </row>
    <row r="56" spans="2:20" x14ac:dyDescent="0.15">
      <c r="B56" s="15">
        <v>3850</v>
      </c>
      <c r="C56" s="5" t="s">
        <v>13</v>
      </c>
      <c r="D56" s="4">
        <f>IFERROR(VLOOKUP(C56,enum!B$4:P$30,15,FALSE),"")</f>
        <v>0</v>
      </c>
      <c r="E56" s="5" t="s">
        <v>29</v>
      </c>
      <c r="F56" s="4">
        <f>IFERROR(VLOOKUP(E56,enum!D$4:R$30,13,FALSE),"")</f>
        <v>7</v>
      </c>
      <c r="G56" s="5" t="s">
        <v>35</v>
      </c>
      <c r="H56" s="4">
        <f>IFERROR(VLOOKUP(G56,enum!F$4:T$30,11,FALSE),"")</f>
        <v>4</v>
      </c>
      <c r="I56" s="5" t="s">
        <v>41</v>
      </c>
      <c r="J56" s="4">
        <f>IFERROR(VLOOKUP(I56,enum!H$4:V$30,9,FALSE),"")</f>
        <v>0</v>
      </c>
      <c r="K56" s="5" t="s">
        <v>50</v>
      </c>
      <c r="L56" s="4">
        <f>IFERROR(VLOOKUP(K56,enum!J$4:X$30,7,FALSE),"")</f>
        <v>0</v>
      </c>
      <c r="M56" s="4">
        <v>7</v>
      </c>
      <c r="N56" s="4">
        <v>1</v>
      </c>
      <c r="O56" s="4">
        <v>1</v>
      </c>
      <c r="P56" s="4">
        <v>1</v>
      </c>
      <c r="Q56" s="5" t="s">
        <v>79</v>
      </c>
      <c r="R56" s="4">
        <f>IFERROR(VLOOKUP(Q56,enum!L$4:Q$30,5,FALSE),"")</f>
        <v>0</v>
      </c>
      <c r="S56" s="9">
        <v>0</v>
      </c>
      <c r="T56"/>
    </row>
    <row r="57" spans="2:20" x14ac:dyDescent="0.15">
      <c r="B57" s="15">
        <v>3900</v>
      </c>
      <c r="C57" s="5" t="s">
        <v>20</v>
      </c>
      <c r="D57" s="4">
        <f>IFERROR(VLOOKUP(C57,enum!B$4:P$30,15,FALSE),"")</f>
        <v>7</v>
      </c>
      <c r="E57" s="5" t="s">
        <v>24</v>
      </c>
      <c r="F57" s="4">
        <f>IFERROR(VLOOKUP(E57,enum!D$4:R$30,13,FALSE),"")</f>
        <v>2</v>
      </c>
      <c r="G57" s="5" t="s">
        <v>38</v>
      </c>
      <c r="H57" s="4">
        <f>IFERROR(VLOOKUP(G57,enum!F$4:T$30,11,FALSE),"")</f>
        <v>7</v>
      </c>
      <c r="I57" s="5" t="s">
        <v>46</v>
      </c>
      <c r="J57" s="4">
        <f>IFERROR(VLOOKUP(I57,enum!H$4:V$30,9,FALSE),"")</f>
        <v>5</v>
      </c>
      <c r="K57" s="5" t="s">
        <v>54</v>
      </c>
      <c r="L57" s="4">
        <f>IFERROR(VLOOKUP(K57,enum!J$4:X$30,7,FALSE),"")</f>
        <v>4</v>
      </c>
      <c r="M57" s="4">
        <v>5</v>
      </c>
      <c r="N57" s="4">
        <v>30</v>
      </c>
      <c r="O57" s="4">
        <v>10</v>
      </c>
      <c r="P57" s="4">
        <v>11</v>
      </c>
      <c r="Q57" s="5" t="s">
        <v>79</v>
      </c>
      <c r="R57" s="4">
        <f>IFERROR(VLOOKUP(Q57,enum!L$4:Q$30,5,FALSE),"")</f>
        <v>0</v>
      </c>
      <c r="S57" s="9">
        <v>0</v>
      </c>
      <c r="T57"/>
    </row>
    <row r="58" spans="2:20" x14ac:dyDescent="0.15">
      <c r="B58" s="15">
        <v>4000</v>
      </c>
      <c r="C58" s="5" t="s">
        <v>20</v>
      </c>
      <c r="D58" s="4">
        <f>IFERROR(VLOOKUP(C58,enum!B$4:P$30,15,FALSE),"")</f>
        <v>7</v>
      </c>
      <c r="E58" s="5" t="s">
        <v>28</v>
      </c>
      <c r="F58" s="4">
        <f>IFERROR(VLOOKUP(E58,enum!D$4:R$30,13,FALSE),"")</f>
        <v>6</v>
      </c>
      <c r="G58" s="5" t="s">
        <v>38</v>
      </c>
      <c r="H58" s="4">
        <f>IFERROR(VLOOKUP(G58,enum!F$4:T$30,11,FALSE),"")</f>
        <v>7</v>
      </c>
      <c r="I58" s="5" t="s">
        <v>46</v>
      </c>
      <c r="J58" s="4">
        <f>IFERROR(VLOOKUP(I58,enum!H$4:V$30,9,FALSE),"")</f>
        <v>5</v>
      </c>
      <c r="K58" s="5" t="s">
        <v>54</v>
      </c>
      <c r="L58" s="4">
        <f>IFERROR(VLOOKUP(K58,enum!J$4:X$30,7,FALSE),"")</f>
        <v>4</v>
      </c>
      <c r="M58" s="4">
        <v>5</v>
      </c>
      <c r="N58" s="4">
        <v>30</v>
      </c>
      <c r="O58" s="4">
        <v>10</v>
      </c>
      <c r="P58" s="4">
        <v>11</v>
      </c>
      <c r="Q58" s="5" t="s">
        <v>79</v>
      </c>
      <c r="R58" s="4">
        <f>IFERROR(VLOOKUP(Q58,enum!L$4:Q$30,5,FALSE),"")</f>
        <v>0</v>
      </c>
      <c r="S58" s="9">
        <v>0</v>
      </c>
      <c r="T58"/>
    </row>
    <row r="59" spans="2:20" x14ac:dyDescent="0.15">
      <c r="B59" s="15">
        <v>4150</v>
      </c>
      <c r="C59" s="5" t="s">
        <v>16</v>
      </c>
      <c r="D59" s="4">
        <f>IFERROR(VLOOKUP(C59,enum!B$4:P$30,15,FALSE),"")</f>
        <v>3</v>
      </c>
      <c r="E59" s="5" t="s">
        <v>23</v>
      </c>
      <c r="F59" s="4">
        <f>IFERROR(VLOOKUP(E59,enum!D$4:R$30,13,FALSE),"")</f>
        <v>1</v>
      </c>
      <c r="G59" s="5" t="s">
        <v>33</v>
      </c>
      <c r="H59" s="4">
        <f>IFERROR(VLOOKUP(G59,enum!F$4:T$30,11,FALSE),"")</f>
        <v>2</v>
      </c>
      <c r="I59" s="5" t="s">
        <v>41</v>
      </c>
      <c r="J59" s="4">
        <f>IFERROR(VLOOKUP(I59,enum!H$4:V$30,9,FALSE),"")</f>
        <v>0</v>
      </c>
      <c r="K59" s="5" t="s">
        <v>53</v>
      </c>
      <c r="L59" s="4">
        <f>IFERROR(VLOOKUP(K59,enum!J$4:X$30,7,FALSE),"")</f>
        <v>3</v>
      </c>
      <c r="M59" s="4">
        <v>7</v>
      </c>
      <c r="N59" s="4">
        <v>20</v>
      </c>
      <c r="O59" s="4">
        <v>6</v>
      </c>
      <c r="P59" s="4">
        <v>1</v>
      </c>
      <c r="Q59" s="5" t="s">
        <v>79</v>
      </c>
      <c r="R59" s="4">
        <f>IFERROR(VLOOKUP(Q59,enum!L$4:Q$30,5,FALSE),"")</f>
        <v>0</v>
      </c>
      <c r="S59" s="9">
        <v>0</v>
      </c>
      <c r="T59"/>
    </row>
    <row r="60" spans="2:20" x14ac:dyDescent="0.15">
      <c r="B60" s="15">
        <v>4200</v>
      </c>
      <c r="C60" s="5" t="s">
        <v>16</v>
      </c>
      <c r="D60" s="4">
        <f>IFERROR(VLOOKUP(C60,enum!B$4:P$30,15,FALSE),"")</f>
        <v>3</v>
      </c>
      <c r="E60" s="5" t="s">
        <v>23</v>
      </c>
      <c r="F60" s="4">
        <f>IFERROR(VLOOKUP(E60,enum!D$4:R$30,13,FALSE),"")</f>
        <v>1</v>
      </c>
      <c r="G60" s="5" t="s">
        <v>33</v>
      </c>
      <c r="H60" s="4">
        <f>IFERROR(VLOOKUP(G60,enum!F$4:T$30,11,FALSE),"")</f>
        <v>2</v>
      </c>
      <c r="I60" s="5" t="s">
        <v>41</v>
      </c>
      <c r="J60" s="4">
        <f>IFERROR(VLOOKUP(I60,enum!H$4:V$30,9,FALSE),"")</f>
        <v>0</v>
      </c>
      <c r="K60" s="5" t="s">
        <v>53</v>
      </c>
      <c r="L60" s="4">
        <f>IFERROR(VLOOKUP(K60,enum!J$4:X$30,7,FALSE),"")</f>
        <v>3</v>
      </c>
      <c r="M60" s="4">
        <v>7</v>
      </c>
      <c r="N60" s="4">
        <v>20</v>
      </c>
      <c r="O60" s="4">
        <v>6</v>
      </c>
      <c r="P60" s="4">
        <v>1</v>
      </c>
      <c r="Q60" s="5" t="s">
        <v>79</v>
      </c>
      <c r="R60" s="4">
        <f>IFERROR(VLOOKUP(Q60,enum!L$4:Q$30,5,FALSE),"")</f>
        <v>0</v>
      </c>
      <c r="S60" s="9">
        <v>0</v>
      </c>
      <c r="T60"/>
    </row>
    <row r="61" spans="2:20" x14ac:dyDescent="0.15">
      <c r="B61" s="15">
        <v>4250</v>
      </c>
      <c r="C61" s="5" t="s">
        <v>16</v>
      </c>
      <c r="D61" s="4">
        <f>IFERROR(VLOOKUP(C61,enum!B$4:P$30,15,FALSE),"")</f>
        <v>3</v>
      </c>
      <c r="E61" s="5" t="s">
        <v>23</v>
      </c>
      <c r="F61" s="4">
        <f>IFERROR(VLOOKUP(E61,enum!D$4:R$30,13,FALSE),"")</f>
        <v>1</v>
      </c>
      <c r="G61" s="5" t="s">
        <v>33</v>
      </c>
      <c r="H61" s="4">
        <f>IFERROR(VLOOKUP(G61,enum!F$4:T$30,11,FALSE),"")</f>
        <v>2</v>
      </c>
      <c r="I61" s="5" t="s">
        <v>41</v>
      </c>
      <c r="J61" s="4">
        <f>IFERROR(VLOOKUP(I61,enum!H$4:V$30,9,FALSE),"")</f>
        <v>0</v>
      </c>
      <c r="K61" s="5" t="s">
        <v>53</v>
      </c>
      <c r="L61" s="4">
        <f>IFERROR(VLOOKUP(K61,enum!J$4:X$30,7,FALSE),"")</f>
        <v>3</v>
      </c>
      <c r="M61" s="4">
        <v>7</v>
      </c>
      <c r="N61" s="4">
        <v>20</v>
      </c>
      <c r="O61" s="4">
        <v>6</v>
      </c>
      <c r="P61" s="4">
        <v>1</v>
      </c>
      <c r="Q61" s="5" t="s">
        <v>79</v>
      </c>
      <c r="R61" s="4">
        <f>IFERROR(VLOOKUP(Q61,enum!L$4:Q$30,5,FALSE),"")</f>
        <v>0</v>
      </c>
      <c r="S61" s="9">
        <v>0</v>
      </c>
      <c r="T61"/>
    </row>
    <row r="62" spans="2:20" x14ac:dyDescent="0.15">
      <c r="B62" s="15">
        <v>4350</v>
      </c>
      <c r="C62" s="5" t="s">
        <v>17</v>
      </c>
      <c r="D62" s="4">
        <f>IFERROR(VLOOKUP(C62,enum!B$4:P$30,15,FALSE),"")</f>
        <v>4</v>
      </c>
      <c r="E62" s="5" t="s">
        <v>29</v>
      </c>
      <c r="F62" s="4">
        <f>IFERROR(VLOOKUP(E62,enum!D$4:R$30,13,FALSE),"")</f>
        <v>7</v>
      </c>
      <c r="G62" s="5" t="s">
        <v>33</v>
      </c>
      <c r="H62" s="4">
        <f>IFERROR(VLOOKUP(G62,enum!F$4:T$30,11,FALSE),"")</f>
        <v>2</v>
      </c>
      <c r="I62" s="5" t="s">
        <v>41</v>
      </c>
      <c r="J62" s="4">
        <f>IFERROR(VLOOKUP(I62,enum!H$4:V$30,9,FALSE),"")</f>
        <v>0</v>
      </c>
      <c r="K62" s="5" t="s">
        <v>54</v>
      </c>
      <c r="L62" s="4">
        <f>IFERROR(VLOOKUP(K62,enum!J$4:X$30,7,FALSE),"")</f>
        <v>4</v>
      </c>
      <c r="M62" s="4">
        <v>7</v>
      </c>
      <c r="N62" s="4">
        <v>20</v>
      </c>
      <c r="O62" s="4">
        <v>6</v>
      </c>
      <c r="P62" s="4">
        <v>1</v>
      </c>
      <c r="Q62" s="5" t="s">
        <v>79</v>
      </c>
      <c r="R62" s="4">
        <f>IFERROR(VLOOKUP(Q62,enum!L$4:Q$30,5,FALSE),"")</f>
        <v>0</v>
      </c>
      <c r="S62" s="9">
        <v>0</v>
      </c>
      <c r="T62"/>
    </row>
    <row r="63" spans="2:20" x14ac:dyDescent="0.15">
      <c r="B63" s="15">
        <v>4400</v>
      </c>
      <c r="C63" s="5" t="s">
        <v>17</v>
      </c>
      <c r="D63" s="4">
        <f>IFERROR(VLOOKUP(C63,enum!B$4:P$30,15,FALSE),"")</f>
        <v>4</v>
      </c>
      <c r="E63" s="5" t="s">
        <v>29</v>
      </c>
      <c r="F63" s="4">
        <f>IFERROR(VLOOKUP(E63,enum!D$4:R$30,13,FALSE),"")</f>
        <v>7</v>
      </c>
      <c r="G63" s="5" t="s">
        <v>33</v>
      </c>
      <c r="H63" s="4">
        <f>IFERROR(VLOOKUP(G63,enum!F$4:T$30,11,FALSE),"")</f>
        <v>2</v>
      </c>
      <c r="I63" s="5" t="s">
        <v>41</v>
      </c>
      <c r="J63" s="4">
        <f>IFERROR(VLOOKUP(I63,enum!H$4:V$30,9,FALSE),"")</f>
        <v>0</v>
      </c>
      <c r="K63" s="5" t="s">
        <v>54</v>
      </c>
      <c r="L63" s="4">
        <f>IFERROR(VLOOKUP(K63,enum!J$4:X$30,7,FALSE),"")</f>
        <v>4</v>
      </c>
      <c r="M63" s="4">
        <v>7</v>
      </c>
      <c r="N63" s="4">
        <v>20</v>
      </c>
      <c r="O63" s="4">
        <v>6</v>
      </c>
      <c r="P63" s="4">
        <v>1</v>
      </c>
      <c r="Q63" s="5" t="s">
        <v>79</v>
      </c>
      <c r="R63" s="4">
        <f>IFERROR(VLOOKUP(Q63,enum!L$4:Q$30,5,FALSE),"")</f>
        <v>0</v>
      </c>
      <c r="S63" s="9">
        <v>0</v>
      </c>
      <c r="T63"/>
    </row>
    <row r="64" spans="2:20" x14ac:dyDescent="0.15">
      <c r="B64" s="15">
        <v>4450</v>
      </c>
      <c r="C64" s="5" t="s">
        <v>17</v>
      </c>
      <c r="D64" s="4">
        <f>IFERROR(VLOOKUP(C64,enum!B$4:P$30,15,FALSE),"")</f>
        <v>4</v>
      </c>
      <c r="E64" s="5" t="s">
        <v>29</v>
      </c>
      <c r="F64" s="4">
        <f>IFERROR(VLOOKUP(E64,enum!D$4:R$30,13,FALSE),"")</f>
        <v>7</v>
      </c>
      <c r="G64" s="5" t="s">
        <v>33</v>
      </c>
      <c r="H64" s="4">
        <f>IFERROR(VLOOKUP(G64,enum!F$4:T$30,11,FALSE),"")</f>
        <v>2</v>
      </c>
      <c r="I64" s="5" t="s">
        <v>41</v>
      </c>
      <c r="J64" s="4">
        <f>IFERROR(VLOOKUP(I64,enum!H$4:V$30,9,FALSE),"")</f>
        <v>0</v>
      </c>
      <c r="K64" s="5" t="s">
        <v>54</v>
      </c>
      <c r="L64" s="4">
        <f>IFERROR(VLOOKUP(K64,enum!J$4:X$30,7,FALSE),"")</f>
        <v>4</v>
      </c>
      <c r="M64" s="4">
        <v>7</v>
      </c>
      <c r="N64" s="4">
        <v>20</v>
      </c>
      <c r="O64" s="4">
        <v>6</v>
      </c>
      <c r="P64" s="4">
        <v>1</v>
      </c>
      <c r="Q64" s="5" t="s">
        <v>79</v>
      </c>
      <c r="R64" s="4">
        <f>IFERROR(VLOOKUP(Q64,enum!L$4:Q$30,5,FALSE),"")</f>
        <v>0</v>
      </c>
      <c r="S64" s="9">
        <v>0</v>
      </c>
      <c r="T64"/>
    </row>
    <row r="65" spans="2:20" x14ac:dyDescent="0.15">
      <c r="B65" s="15">
        <v>4550</v>
      </c>
      <c r="C65" s="5" t="s">
        <v>15</v>
      </c>
      <c r="D65" s="4">
        <f>IFERROR(VLOOKUP(C65,enum!B$4:P$30,15,FALSE),"")</f>
        <v>2</v>
      </c>
      <c r="E65" s="5" t="s">
        <v>24</v>
      </c>
      <c r="F65" s="4">
        <f>IFERROR(VLOOKUP(E65,enum!D$4:R$30,13,FALSE),"")</f>
        <v>2</v>
      </c>
      <c r="G65" s="5" t="s">
        <v>33</v>
      </c>
      <c r="H65" s="4">
        <f>IFERROR(VLOOKUP(G65,enum!F$4:T$30,11,FALSE),"")</f>
        <v>2</v>
      </c>
      <c r="I65" s="5" t="s">
        <v>41</v>
      </c>
      <c r="J65" s="4">
        <f>IFERROR(VLOOKUP(I65,enum!H$4:V$30,9,FALSE),"")</f>
        <v>0</v>
      </c>
      <c r="K65" s="5" t="s">
        <v>52</v>
      </c>
      <c r="L65" s="4">
        <f>IFERROR(VLOOKUP(K65,enum!J$4:X$30,7,FALSE),"")</f>
        <v>2</v>
      </c>
      <c r="M65" s="4">
        <v>7</v>
      </c>
      <c r="N65" s="4">
        <v>20</v>
      </c>
      <c r="O65" s="4">
        <v>6</v>
      </c>
      <c r="P65" s="4">
        <v>1</v>
      </c>
      <c r="Q65" s="5" t="s">
        <v>79</v>
      </c>
      <c r="R65" s="4">
        <f>IFERROR(VLOOKUP(Q65,enum!L$4:Q$30,5,FALSE),"")</f>
        <v>0</v>
      </c>
      <c r="S65" s="9">
        <v>0</v>
      </c>
      <c r="T65"/>
    </row>
    <row r="66" spans="2:20" x14ac:dyDescent="0.15">
      <c r="B66" s="15">
        <v>4600</v>
      </c>
      <c r="C66" s="5" t="s">
        <v>15</v>
      </c>
      <c r="D66" s="4">
        <f>IFERROR(VLOOKUP(C66,enum!B$4:P$30,15,FALSE),"")</f>
        <v>2</v>
      </c>
      <c r="E66" s="5" t="s">
        <v>24</v>
      </c>
      <c r="F66" s="4">
        <f>IFERROR(VLOOKUP(E66,enum!D$4:R$30,13,FALSE),"")</f>
        <v>2</v>
      </c>
      <c r="G66" s="5" t="s">
        <v>33</v>
      </c>
      <c r="H66" s="4">
        <f>IFERROR(VLOOKUP(G66,enum!F$4:T$30,11,FALSE),"")</f>
        <v>2</v>
      </c>
      <c r="I66" s="5" t="s">
        <v>41</v>
      </c>
      <c r="J66" s="4">
        <f>IFERROR(VLOOKUP(I66,enum!H$4:V$30,9,FALSE),"")</f>
        <v>0</v>
      </c>
      <c r="K66" s="5" t="s">
        <v>52</v>
      </c>
      <c r="L66" s="4">
        <f>IFERROR(VLOOKUP(K66,enum!J$4:X$30,7,FALSE),"")</f>
        <v>2</v>
      </c>
      <c r="M66" s="4">
        <v>7</v>
      </c>
      <c r="N66" s="4">
        <v>20</v>
      </c>
      <c r="O66" s="4">
        <v>6</v>
      </c>
      <c r="P66" s="4">
        <v>1</v>
      </c>
      <c r="Q66" s="5" t="s">
        <v>79</v>
      </c>
      <c r="R66" s="4">
        <f>IFERROR(VLOOKUP(Q66,enum!L$4:Q$30,5,FALSE),"")</f>
        <v>0</v>
      </c>
      <c r="S66" s="9">
        <v>0</v>
      </c>
      <c r="T66"/>
    </row>
    <row r="67" spans="2:20" x14ac:dyDescent="0.15">
      <c r="B67" s="15">
        <v>4650</v>
      </c>
      <c r="C67" s="5" t="s">
        <v>15</v>
      </c>
      <c r="D67" s="4">
        <f>IFERROR(VLOOKUP(C67,enum!B$4:P$30,15,FALSE),"")</f>
        <v>2</v>
      </c>
      <c r="E67" s="5" t="s">
        <v>24</v>
      </c>
      <c r="F67" s="4">
        <f>IFERROR(VLOOKUP(E67,enum!D$4:R$30,13,FALSE),"")</f>
        <v>2</v>
      </c>
      <c r="G67" s="5" t="s">
        <v>33</v>
      </c>
      <c r="H67" s="4">
        <f>IFERROR(VLOOKUP(G67,enum!F$4:T$30,11,FALSE),"")</f>
        <v>2</v>
      </c>
      <c r="I67" s="5" t="s">
        <v>41</v>
      </c>
      <c r="J67" s="4">
        <f>IFERROR(VLOOKUP(I67,enum!H$4:V$30,9,FALSE),"")</f>
        <v>0</v>
      </c>
      <c r="K67" s="5" t="s">
        <v>52</v>
      </c>
      <c r="L67" s="4">
        <f>IFERROR(VLOOKUP(K67,enum!J$4:X$30,7,FALSE),"")</f>
        <v>2</v>
      </c>
      <c r="M67" s="4">
        <v>7</v>
      </c>
      <c r="N67" s="4">
        <v>20</v>
      </c>
      <c r="O67" s="4">
        <v>6</v>
      </c>
      <c r="P67" s="4">
        <v>1</v>
      </c>
      <c r="Q67" s="5" t="s">
        <v>79</v>
      </c>
      <c r="R67" s="4">
        <f>IFERROR(VLOOKUP(Q67,enum!L$4:Q$30,5,FALSE),"")</f>
        <v>0</v>
      </c>
      <c r="S67" s="9">
        <v>0</v>
      </c>
      <c r="T67"/>
    </row>
    <row r="68" spans="2:20" x14ac:dyDescent="0.15">
      <c r="B68" s="15">
        <v>0</v>
      </c>
      <c r="C68" s="5" t="s">
        <v>13</v>
      </c>
      <c r="D68" s="4">
        <f>IFERROR(VLOOKUP(C68,enum!B$4:P$30,15,FALSE),"")</f>
        <v>0</v>
      </c>
      <c r="E68" s="5" t="s">
        <v>22</v>
      </c>
      <c r="F68" s="4">
        <f>IFERROR(VLOOKUP(E68,enum!D$4:R$30,13,FALSE),"")</f>
        <v>0</v>
      </c>
      <c r="G68" s="5" t="s">
        <v>31</v>
      </c>
      <c r="H68" s="4">
        <f>IFERROR(VLOOKUP(G68,enum!F$4:T$30,11,FALSE),"")</f>
        <v>0</v>
      </c>
      <c r="I68" s="5" t="s">
        <v>41</v>
      </c>
      <c r="J68" s="4">
        <f>IFERROR(VLOOKUP(I68,enum!H$4:V$30,9,FALSE),"")</f>
        <v>0</v>
      </c>
      <c r="K68" s="5" t="s">
        <v>50</v>
      </c>
      <c r="L68" s="4">
        <f>IFERROR(VLOOKUP(K68,enum!J$4:X$30,7,FALSE),"")</f>
        <v>0</v>
      </c>
      <c r="M68" s="4">
        <v>0</v>
      </c>
      <c r="N68" s="4">
        <v>0</v>
      </c>
      <c r="O68" s="4">
        <v>0</v>
      </c>
      <c r="P68" s="4">
        <v>0</v>
      </c>
      <c r="Q68" s="5" t="s">
        <v>79</v>
      </c>
      <c r="R68" s="4">
        <f>IFERROR(VLOOKUP(Q68,enum!L$4:Q$30,5,FALSE),"")</f>
        <v>0</v>
      </c>
      <c r="S68" s="9">
        <v>0</v>
      </c>
      <c r="T68"/>
    </row>
    <row r="69" spans="2:20" x14ac:dyDescent="0.15">
      <c r="B69" s="15">
        <v>0</v>
      </c>
      <c r="C69" s="5" t="s">
        <v>13</v>
      </c>
      <c r="D69" s="4">
        <f>IFERROR(VLOOKUP(C69,enum!B$4:P$30,15,FALSE),"")</f>
        <v>0</v>
      </c>
      <c r="E69" s="5" t="s">
        <v>22</v>
      </c>
      <c r="F69" s="4">
        <f>IFERROR(VLOOKUP(E69,enum!D$4:R$30,13,FALSE),"")</f>
        <v>0</v>
      </c>
      <c r="G69" s="5" t="s">
        <v>31</v>
      </c>
      <c r="H69" s="4">
        <f>IFERROR(VLOOKUP(G69,enum!F$4:T$30,11,FALSE),"")</f>
        <v>0</v>
      </c>
      <c r="I69" s="5" t="s">
        <v>41</v>
      </c>
      <c r="J69" s="4">
        <f>IFERROR(VLOOKUP(I69,enum!H$4:V$30,9,FALSE),"")</f>
        <v>0</v>
      </c>
      <c r="K69" s="5" t="s">
        <v>50</v>
      </c>
      <c r="L69" s="4">
        <f>IFERROR(VLOOKUP(K69,enum!J$4:X$30,7,FALSE),"")</f>
        <v>0</v>
      </c>
      <c r="M69" s="4">
        <v>0</v>
      </c>
      <c r="N69" s="4">
        <v>0</v>
      </c>
      <c r="O69" s="4">
        <v>0</v>
      </c>
      <c r="P69" s="4">
        <v>0</v>
      </c>
      <c r="Q69" s="5" t="s">
        <v>79</v>
      </c>
      <c r="R69" s="4">
        <f>IFERROR(VLOOKUP(Q69,enum!L$4:Q$30,5,FALSE),"")</f>
        <v>0</v>
      </c>
      <c r="S69" s="9">
        <v>0</v>
      </c>
      <c r="T69"/>
    </row>
    <row r="70" spans="2:20" x14ac:dyDescent="0.15">
      <c r="B70" s="15">
        <v>0</v>
      </c>
      <c r="C70" s="5" t="s">
        <v>13</v>
      </c>
      <c r="D70" s="4">
        <f>IFERROR(VLOOKUP(C70,enum!B$4:P$30,15,FALSE),"")</f>
        <v>0</v>
      </c>
      <c r="E70" s="5" t="s">
        <v>22</v>
      </c>
      <c r="F70" s="4">
        <f>IFERROR(VLOOKUP(E70,enum!D$4:R$30,13,FALSE),"")</f>
        <v>0</v>
      </c>
      <c r="G70" s="5" t="s">
        <v>31</v>
      </c>
      <c r="H70" s="4">
        <f>IFERROR(VLOOKUP(G70,enum!F$4:T$30,11,FALSE),"")</f>
        <v>0</v>
      </c>
      <c r="I70" s="5" t="s">
        <v>41</v>
      </c>
      <c r="J70" s="4">
        <f>IFERROR(VLOOKUP(I70,enum!H$4:V$30,9,FALSE),"")</f>
        <v>0</v>
      </c>
      <c r="K70" s="5" t="s">
        <v>50</v>
      </c>
      <c r="L70" s="4">
        <f>IFERROR(VLOOKUP(K70,enum!J$4:X$30,7,FALSE),"")</f>
        <v>0</v>
      </c>
      <c r="M70" s="4">
        <v>0</v>
      </c>
      <c r="N70" s="4">
        <v>0</v>
      </c>
      <c r="O70" s="4">
        <v>0</v>
      </c>
      <c r="P70" s="4">
        <v>0</v>
      </c>
      <c r="Q70" s="5" t="s">
        <v>79</v>
      </c>
      <c r="R70" s="4">
        <f>IFERROR(VLOOKUP(Q70,enum!L$4:Q$30,5,FALSE),"")</f>
        <v>0</v>
      </c>
      <c r="S70" s="9">
        <v>0</v>
      </c>
      <c r="T70"/>
    </row>
    <row r="71" spans="2:20" x14ac:dyDescent="0.15">
      <c r="B71" s="15">
        <v>0</v>
      </c>
      <c r="C71" s="5" t="s">
        <v>13</v>
      </c>
      <c r="D71" s="4">
        <f>IFERROR(VLOOKUP(C71,enum!B$4:P$30,15,FALSE),"")</f>
        <v>0</v>
      </c>
      <c r="E71" s="5" t="s">
        <v>22</v>
      </c>
      <c r="F71" s="4">
        <f>IFERROR(VLOOKUP(E71,enum!D$4:R$30,13,FALSE),"")</f>
        <v>0</v>
      </c>
      <c r="G71" s="5" t="s">
        <v>31</v>
      </c>
      <c r="H71" s="4">
        <f>IFERROR(VLOOKUP(G71,enum!F$4:T$30,11,FALSE),"")</f>
        <v>0</v>
      </c>
      <c r="I71" s="5" t="s">
        <v>41</v>
      </c>
      <c r="J71" s="4">
        <f>IFERROR(VLOOKUP(I71,enum!H$4:V$30,9,FALSE),"")</f>
        <v>0</v>
      </c>
      <c r="K71" s="5" t="s">
        <v>50</v>
      </c>
      <c r="L71" s="4">
        <f>IFERROR(VLOOKUP(K71,enum!J$4:X$30,7,FALSE),"")</f>
        <v>0</v>
      </c>
      <c r="M71" s="4">
        <v>0</v>
      </c>
      <c r="N71" s="4">
        <v>0</v>
      </c>
      <c r="O71" s="4">
        <v>0</v>
      </c>
      <c r="P71" s="4">
        <v>0</v>
      </c>
      <c r="Q71" s="5" t="s">
        <v>79</v>
      </c>
      <c r="R71" s="4">
        <f>IFERROR(VLOOKUP(Q71,enum!L$4:Q$30,5,FALSE),"")</f>
        <v>0</v>
      </c>
      <c r="S71" s="9">
        <v>0</v>
      </c>
      <c r="T71"/>
    </row>
    <row r="72" spans="2:20" x14ac:dyDescent="0.15">
      <c r="B72" s="15">
        <v>0</v>
      </c>
      <c r="C72" s="5" t="s">
        <v>13</v>
      </c>
      <c r="D72" s="4">
        <f>IFERROR(VLOOKUP(C72,enum!B$4:P$30,15,FALSE),"")</f>
        <v>0</v>
      </c>
      <c r="E72" s="5" t="s">
        <v>22</v>
      </c>
      <c r="F72" s="4">
        <f>IFERROR(VLOOKUP(E72,enum!D$4:R$30,13,FALSE),"")</f>
        <v>0</v>
      </c>
      <c r="G72" s="5" t="s">
        <v>31</v>
      </c>
      <c r="H72" s="4">
        <f>IFERROR(VLOOKUP(G72,enum!F$4:T$30,11,FALSE),"")</f>
        <v>0</v>
      </c>
      <c r="I72" s="5" t="s">
        <v>41</v>
      </c>
      <c r="J72" s="4">
        <f>IFERROR(VLOOKUP(I72,enum!H$4:V$30,9,FALSE),"")</f>
        <v>0</v>
      </c>
      <c r="K72" s="5" t="s">
        <v>50</v>
      </c>
      <c r="L72" s="4">
        <f>IFERROR(VLOOKUP(K72,enum!J$4:X$30,7,FALSE),"")</f>
        <v>0</v>
      </c>
      <c r="M72" s="4">
        <v>0</v>
      </c>
      <c r="N72" s="4">
        <v>0</v>
      </c>
      <c r="O72" s="4">
        <v>0</v>
      </c>
      <c r="P72" s="4">
        <v>0</v>
      </c>
      <c r="Q72" s="5" t="s">
        <v>79</v>
      </c>
      <c r="R72" s="4">
        <f>IFERROR(VLOOKUP(Q72,enum!L$4:Q$30,5,FALSE),"")</f>
        <v>0</v>
      </c>
      <c r="S72" s="9">
        <v>0</v>
      </c>
      <c r="T72"/>
    </row>
    <row r="73" spans="2:20" x14ac:dyDescent="0.15">
      <c r="B73" s="15">
        <v>0</v>
      </c>
      <c r="C73" s="5" t="s">
        <v>13</v>
      </c>
      <c r="D73" s="4">
        <f>IFERROR(VLOOKUP(C73,enum!B$4:P$30,15,FALSE),"")</f>
        <v>0</v>
      </c>
      <c r="E73" s="5" t="s">
        <v>22</v>
      </c>
      <c r="F73" s="4">
        <f>IFERROR(VLOOKUP(E73,enum!D$4:R$30,13,FALSE),"")</f>
        <v>0</v>
      </c>
      <c r="G73" s="5" t="s">
        <v>31</v>
      </c>
      <c r="H73" s="4">
        <f>IFERROR(VLOOKUP(G73,enum!F$4:T$30,11,FALSE),"")</f>
        <v>0</v>
      </c>
      <c r="I73" s="5" t="s">
        <v>41</v>
      </c>
      <c r="J73" s="4">
        <f>IFERROR(VLOOKUP(I73,enum!H$4:V$30,9,FALSE),"")</f>
        <v>0</v>
      </c>
      <c r="K73" s="5" t="s">
        <v>50</v>
      </c>
      <c r="L73" s="4">
        <f>IFERROR(VLOOKUP(K73,enum!J$4:X$30,7,FALSE),"")</f>
        <v>0</v>
      </c>
      <c r="M73" s="4">
        <v>0</v>
      </c>
      <c r="N73" s="4">
        <v>0</v>
      </c>
      <c r="O73" s="4">
        <v>0</v>
      </c>
      <c r="P73" s="4">
        <v>0</v>
      </c>
      <c r="Q73" s="5" t="s">
        <v>79</v>
      </c>
      <c r="R73" s="4">
        <f>IFERROR(VLOOKUP(Q73,enum!L$4:Q$30,5,FALSE),"")</f>
        <v>0</v>
      </c>
      <c r="S73" s="9">
        <v>0</v>
      </c>
      <c r="T73"/>
    </row>
    <row r="74" spans="2:20" x14ac:dyDescent="0.15">
      <c r="B74" s="15">
        <v>0</v>
      </c>
      <c r="C74" s="5" t="s">
        <v>13</v>
      </c>
      <c r="D74" s="4">
        <f>IFERROR(VLOOKUP(C74,enum!B$4:P$30,15,FALSE),"")</f>
        <v>0</v>
      </c>
      <c r="E74" s="5" t="s">
        <v>22</v>
      </c>
      <c r="F74" s="4">
        <f>IFERROR(VLOOKUP(E74,enum!D$4:R$30,13,FALSE),"")</f>
        <v>0</v>
      </c>
      <c r="G74" s="5" t="s">
        <v>31</v>
      </c>
      <c r="H74" s="4">
        <f>IFERROR(VLOOKUP(G74,enum!F$4:T$30,11,FALSE),"")</f>
        <v>0</v>
      </c>
      <c r="I74" s="5" t="s">
        <v>41</v>
      </c>
      <c r="J74" s="4">
        <f>IFERROR(VLOOKUP(I74,enum!H$4:V$30,9,FALSE),"")</f>
        <v>0</v>
      </c>
      <c r="K74" s="5" t="s">
        <v>50</v>
      </c>
      <c r="L74" s="4">
        <f>IFERROR(VLOOKUP(K74,enum!J$4:X$30,7,FALSE),"")</f>
        <v>0</v>
      </c>
      <c r="M74" s="4">
        <v>0</v>
      </c>
      <c r="N74" s="4">
        <v>0</v>
      </c>
      <c r="O74" s="4">
        <v>0</v>
      </c>
      <c r="P74" s="4">
        <v>0</v>
      </c>
      <c r="Q74" s="5" t="s">
        <v>79</v>
      </c>
      <c r="R74" s="4">
        <f>IFERROR(VLOOKUP(Q74,enum!L$4:Q$30,5,FALSE),"")</f>
        <v>0</v>
      </c>
      <c r="S74" s="9">
        <v>0</v>
      </c>
      <c r="T74"/>
    </row>
    <row r="75" spans="2:20" x14ac:dyDescent="0.15">
      <c r="B75" s="15">
        <v>0</v>
      </c>
      <c r="C75" s="5" t="s">
        <v>13</v>
      </c>
      <c r="D75" s="4">
        <f>IFERROR(VLOOKUP(C75,enum!B$4:P$30,15,FALSE),"")</f>
        <v>0</v>
      </c>
      <c r="E75" s="5" t="s">
        <v>22</v>
      </c>
      <c r="F75" s="4">
        <f>IFERROR(VLOOKUP(E75,enum!D$4:R$30,13,FALSE),"")</f>
        <v>0</v>
      </c>
      <c r="G75" s="5" t="s">
        <v>31</v>
      </c>
      <c r="H75" s="4">
        <f>IFERROR(VLOOKUP(G75,enum!F$4:T$30,11,FALSE),"")</f>
        <v>0</v>
      </c>
      <c r="I75" s="5" t="s">
        <v>41</v>
      </c>
      <c r="J75" s="4">
        <f>IFERROR(VLOOKUP(I75,enum!H$4:V$30,9,FALSE),"")</f>
        <v>0</v>
      </c>
      <c r="K75" s="5" t="s">
        <v>50</v>
      </c>
      <c r="L75" s="4">
        <f>IFERROR(VLOOKUP(K75,enum!J$4:X$30,7,FALSE),"")</f>
        <v>0</v>
      </c>
      <c r="M75" s="4">
        <v>0</v>
      </c>
      <c r="N75" s="4">
        <v>0</v>
      </c>
      <c r="O75" s="4">
        <v>0</v>
      </c>
      <c r="P75" s="4">
        <v>0</v>
      </c>
      <c r="Q75" s="5" t="s">
        <v>79</v>
      </c>
      <c r="R75" s="4">
        <f>IFERROR(VLOOKUP(Q75,enum!L$4:Q$30,5,FALSE),"")</f>
        <v>0</v>
      </c>
      <c r="S75" s="9">
        <v>0</v>
      </c>
      <c r="T75"/>
    </row>
    <row r="76" spans="2:20" x14ac:dyDescent="0.15">
      <c r="B76" s="15">
        <v>0</v>
      </c>
      <c r="C76" s="5" t="s">
        <v>13</v>
      </c>
      <c r="D76" s="4">
        <f>IFERROR(VLOOKUP(C76,enum!B$4:P$30,15,FALSE),"")</f>
        <v>0</v>
      </c>
      <c r="E76" s="5" t="s">
        <v>22</v>
      </c>
      <c r="F76" s="4">
        <f>IFERROR(VLOOKUP(E76,enum!D$4:R$30,13,FALSE),"")</f>
        <v>0</v>
      </c>
      <c r="G76" s="5" t="s">
        <v>31</v>
      </c>
      <c r="H76" s="4">
        <f>IFERROR(VLOOKUP(G76,enum!F$4:T$30,11,FALSE),"")</f>
        <v>0</v>
      </c>
      <c r="I76" s="5" t="s">
        <v>41</v>
      </c>
      <c r="J76" s="4">
        <f>IFERROR(VLOOKUP(I76,enum!H$4:V$30,9,FALSE),"")</f>
        <v>0</v>
      </c>
      <c r="K76" s="5" t="s">
        <v>50</v>
      </c>
      <c r="L76" s="4">
        <f>IFERROR(VLOOKUP(K76,enum!J$4:X$30,7,FALSE),"")</f>
        <v>0</v>
      </c>
      <c r="M76" s="4">
        <v>0</v>
      </c>
      <c r="N76" s="4">
        <v>0</v>
      </c>
      <c r="O76" s="4">
        <v>0</v>
      </c>
      <c r="P76" s="4">
        <v>0</v>
      </c>
      <c r="Q76" s="5" t="s">
        <v>79</v>
      </c>
      <c r="R76" s="4">
        <f>IFERROR(VLOOKUP(Q76,enum!L$4:Q$30,5,FALSE),"")</f>
        <v>0</v>
      </c>
      <c r="S76" s="9">
        <v>0</v>
      </c>
      <c r="T76"/>
    </row>
    <row r="77" spans="2:20" x14ac:dyDescent="0.15">
      <c r="B77" s="15">
        <v>0</v>
      </c>
      <c r="C77" s="5" t="s">
        <v>13</v>
      </c>
      <c r="D77" s="4">
        <f>IFERROR(VLOOKUP(C77,enum!B$4:P$30,15,FALSE),"")</f>
        <v>0</v>
      </c>
      <c r="E77" s="5" t="s">
        <v>22</v>
      </c>
      <c r="F77" s="4">
        <f>IFERROR(VLOOKUP(E77,enum!D$4:R$30,13,FALSE),"")</f>
        <v>0</v>
      </c>
      <c r="G77" s="5" t="s">
        <v>31</v>
      </c>
      <c r="H77" s="4">
        <f>IFERROR(VLOOKUP(G77,enum!F$4:T$30,11,FALSE),"")</f>
        <v>0</v>
      </c>
      <c r="I77" s="5" t="s">
        <v>41</v>
      </c>
      <c r="J77" s="4">
        <f>IFERROR(VLOOKUP(I77,enum!H$4:V$30,9,FALSE),"")</f>
        <v>0</v>
      </c>
      <c r="K77" s="5" t="s">
        <v>50</v>
      </c>
      <c r="L77" s="4">
        <f>IFERROR(VLOOKUP(K77,enum!J$4:X$30,7,FALSE),"")</f>
        <v>0</v>
      </c>
      <c r="M77" s="4">
        <v>0</v>
      </c>
      <c r="N77" s="4">
        <v>0</v>
      </c>
      <c r="O77" s="4">
        <v>0</v>
      </c>
      <c r="P77" s="4">
        <v>0</v>
      </c>
      <c r="Q77" s="5" t="s">
        <v>79</v>
      </c>
      <c r="R77" s="4">
        <f>IFERROR(VLOOKUP(Q77,enum!L$4:Q$30,5,FALSE),"")</f>
        <v>0</v>
      </c>
      <c r="S77" s="9">
        <v>0</v>
      </c>
      <c r="T77"/>
    </row>
    <row r="78" spans="2:20" x14ac:dyDescent="0.15">
      <c r="B78" s="15">
        <v>0</v>
      </c>
      <c r="C78" s="5" t="s">
        <v>13</v>
      </c>
      <c r="D78" s="4">
        <f>IFERROR(VLOOKUP(C78,enum!B$4:P$30,15,FALSE),"")</f>
        <v>0</v>
      </c>
      <c r="E78" s="5" t="s">
        <v>22</v>
      </c>
      <c r="F78" s="4">
        <f>IFERROR(VLOOKUP(E78,enum!D$4:R$30,13,FALSE),"")</f>
        <v>0</v>
      </c>
      <c r="G78" s="5" t="s">
        <v>31</v>
      </c>
      <c r="H78" s="4">
        <f>IFERROR(VLOOKUP(G78,enum!F$4:T$30,11,FALSE),"")</f>
        <v>0</v>
      </c>
      <c r="I78" s="5" t="s">
        <v>41</v>
      </c>
      <c r="J78" s="4">
        <f>IFERROR(VLOOKUP(I78,enum!H$4:V$30,9,FALSE),"")</f>
        <v>0</v>
      </c>
      <c r="K78" s="5" t="s">
        <v>50</v>
      </c>
      <c r="L78" s="4">
        <f>IFERROR(VLOOKUP(K78,enum!J$4:X$30,7,FALSE),"")</f>
        <v>0</v>
      </c>
      <c r="M78" s="4">
        <v>0</v>
      </c>
      <c r="N78" s="4">
        <v>0</v>
      </c>
      <c r="O78" s="4">
        <v>0</v>
      </c>
      <c r="P78" s="4">
        <v>0</v>
      </c>
      <c r="Q78" s="5" t="s">
        <v>79</v>
      </c>
      <c r="R78" s="4">
        <f>IFERROR(VLOOKUP(Q78,enum!L$4:Q$30,5,FALSE),"")</f>
        <v>0</v>
      </c>
      <c r="S78" s="9">
        <v>0</v>
      </c>
      <c r="T78"/>
    </row>
    <row r="79" spans="2:20" x14ac:dyDescent="0.15">
      <c r="B79" s="15">
        <v>0</v>
      </c>
      <c r="C79" s="5" t="s">
        <v>13</v>
      </c>
      <c r="D79" s="4">
        <f>IFERROR(VLOOKUP(C79,enum!B$4:P$30,15,FALSE),"")</f>
        <v>0</v>
      </c>
      <c r="E79" s="5" t="s">
        <v>22</v>
      </c>
      <c r="F79" s="4">
        <f>IFERROR(VLOOKUP(E79,enum!D$4:R$30,13,FALSE),"")</f>
        <v>0</v>
      </c>
      <c r="G79" s="5" t="s">
        <v>31</v>
      </c>
      <c r="H79" s="4">
        <f>IFERROR(VLOOKUP(G79,enum!F$4:T$30,11,FALSE),"")</f>
        <v>0</v>
      </c>
      <c r="I79" s="5" t="s">
        <v>41</v>
      </c>
      <c r="J79" s="4">
        <f>IFERROR(VLOOKUP(I79,enum!H$4:V$30,9,FALSE),"")</f>
        <v>0</v>
      </c>
      <c r="K79" s="5" t="s">
        <v>50</v>
      </c>
      <c r="L79" s="4">
        <f>IFERROR(VLOOKUP(K79,enum!J$4:X$30,7,FALSE),"")</f>
        <v>0</v>
      </c>
      <c r="M79" s="4">
        <v>0</v>
      </c>
      <c r="N79" s="4">
        <v>0</v>
      </c>
      <c r="O79" s="4">
        <v>0</v>
      </c>
      <c r="P79" s="4">
        <v>0</v>
      </c>
      <c r="Q79" s="5" t="s">
        <v>79</v>
      </c>
      <c r="R79" s="4">
        <f>IFERROR(VLOOKUP(Q79,enum!L$4:Q$30,5,FALSE),"")</f>
        <v>0</v>
      </c>
      <c r="S79" s="9">
        <v>0</v>
      </c>
      <c r="T79"/>
    </row>
    <row r="80" spans="2:20" x14ac:dyDescent="0.15">
      <c r="B80" s="15">
        <v>0</v>
      </c>
      <c r="C80" s="5" t="s">
        <v>13</v>
      </c>
      <c r="D80" s="4">
        <f>IFERROR(VLOOKUP(C80,enum!B$4:P$30,15,FALSE),"")</f>
        <v>0</v>
      </c>
      <c r="E80" s="5" t="s">
        <v>22</v>
      </c>
      <c r="F80" s="4">
        <f>IFERROR(VLOOKUP(E80,enum!D$4:R$30,13,FALSE),"")</f>
        <v>0</v>
      </c>
      <c r="G80" s="5" t="s">
        <v>31</v>
      </c>
      <c r="H80" s="4">
        <f>IFERROR(VLOOKUP(G80,enum!F$4:T$30,11,FALSE),"")</f>
        <v>0</v>
      </c>
      <c r="I80" s="5" t="s">
        <v>41</v>
      </c>
      <c r="J80" s="4">
        <f>IFERROR(VLOOKUP(I80,enum!H$4:V$30,9,FALSE),"")</f>
        <v>0</v>
      </c>
      <c r="K80" s="5" t="s">
        <v>50</v>
      </c>
      <c r="L80" s="4">
        <f>IFERROR(VLOOKUP(K80,enum!J$4:X$30,7,FALSE),"")</f>
        <v>0</v>
      </c>
      <c r="M80" s="4">
        <v>0</v>
      </c>
      <c r="N80" s="4">
        <v>0</v>
      </c>
      <c r="O80" s="4">
        <v>0</v>
      </c>
      <c r="P80" s="4">
        <v>0</v>
      </c>
      <c r="Q80" s="5" t="s">
        <v>79</v>
      </c>
      <c r="R80" s="4">
        <f>IFERROR(VLOOKUP(Q80,enum!L$4:Q$30,5,FALSE),"")</f>
        <v>0</v>
      </c>
      <c r="S80" s="9">
        <v>0</v>
      </c>
      <c r="T80"/>
    </row>
    <row r="81" spans="2:20" x14ac:dyDescent="0.15">
      <c r="B81" s="15">
        <v>0</v>
      </c>
      <c r="C81" s="5" t="s">
        <v>13</v>
      </c>
      <c r="D81" s="4">
        <f>IFERROR(VLOOKUP(C81,enum!B$4:P$30,15,FALSE),"")</f>
        <v>0</v>
      </c>
      <c r="E81" s="5" t="s">
        <v>22</v>
      </c>
      <c r="F81" s="4">
        <f>IFERROR(VLOOKUP(E81,enum!D$4:R$30,13,FALSE),"")</f>
        <v>0</v>
      </c>
      <c r="G81" s="5" t="s">
        <v>31</v>
      </c>
      <c r="H81" s="4">
        <f>IFERROR(VLOOKUP(G81,enum!F$4:T$30,11,FALSE),"")</f>
        <v>0</v>
      </c>
      <c r="I81" s="5" t="s">
        <v>41</v>
      </c>
      <c r="J81" s="4">
        <f>IFERROR(VLOOKUP(I81,enum!H$4:V$30,9,FALSE),"")</f>
        <v>0</v>
      </c>
      <c r="K81" s="5" t="s">
        <v>50</v>
      </c>
      <c r="L81" s="4">
        <f>IFERROR(VLOOKUP(K81,enum!J$4:X$30,7,FALSE),"")</f>
        <v>0</v>
      </c>
      <c r="M81" s="4">
        <v>0</v>
      </c>
      <c r="N81" s="4">
        <v>0</v>
      </c>
      <c r="O81" s="4">
        <v>0</v>
      </c>
      <c r="P81" s="4">
        <v>0</v>
      </c>
      <c r="Q81" s="5" t="s">
        <v>79</v>
      </c>
      <c r="R81" s="4">
        <f>IFERROR(VLOOKUP(Q81,enum!L$4:Q$30,5,FALSE),"")</f>
        <v>0</v>
      </c>
      <c r="S81" s="9">
        <v>0</v>
      </c>
      <c r="T81"/>
    </row>
    <row r="82" spans="2:20" x14ac:dyDescent="0.15">
      <c r="B82" s="15">
        <v>0</v>
      </c>
      <c r="C82" s="5" t="s">
        <v>13</v>
      </c>
      <c r="D82" s="4">
        <f>IFERROR(VLOOKUP(C82,enum!B$4:P$30,15,FALSE),"")</f>
        <v>0</v>
      </c>
      <c r="E82" s="5" t="s">
        <v>22</v>
      </c>
      <c r="F82" s="4">
        <f>IFERROR(VLOOKUP(E82,enum!D$4:R$30,13,FALSE),"")</f>
        <v>0</v>
      </c>
      <c r="G82" s="5" t="s">
        <v>31</v>
      </c>
      <c r="H82" s="4">
        <f>IFERROR(VLOOKUP(G82,enum!F$4:T$30,11,FALSE),"")</f>
        <v>0</v>
      </c>
      <c r="I82" s="5" t="s">
        <v>41</v>
      </c>
      <c r="J82" s="4">
        <f>IFERROR(VLOOKUP(I82,enum!H$4:V$30,9,FALSE),"")</f>
        <v>0</v>
      </c>
      <c r="K82" s="5" t="s">
        <v>50</v>
      </c>
      <c r="L82" s="4">
        <f>IFERROR(VLOOKUP(K82,enum!J$4:X$30,7,FALSE),"")</f>
        <v>0</v>
      </c>
      <c r="M82" s="4">
        <v>0</v>
      </c>
      <c r="N82" s="4">
        <v>0</v>
      </c>
      <c r="O82" s="4">
        <v>0</v>
      </c>
      <c r="P82" s="4">
        <v>0</v>
      </c>
      <c r="Q82" s="5" t="s">
        <v>79</v>
      </c>
      <c r="R82" s="4">
        <f>IFERROR(VLOOKUP(Q82,enum!L$4:Q$30,5,FALSE),"")</f>
        <v>0</v>
      </c>
      <c r="S82" s="9">
        <v>0</v>
      </c>
      <c r="T82"/>
    </row>
    <row r="83" spans="2:20" x14ac:dyDescent="0.15">
      <c r="B83" s="15">
        <v>0</v>
      </c>
      <c r="C83" s="5" t="s">
        <v>13</v>
      </c>
      <c r="D83" s="4">
        <f>IFERROR(VLOOKUP(C83,enum!B$4:P$30,15,FALSE),"")</f>
        <v>0</v>
      </c>
      <c r="E83" s="5" t="s">
        <v>22</v>
      </c>
      <c r="F83" s="4">
        <f>IFERROR(VLOOKUP(E83,enum!D$4:R$30,13,FALSE),"")</f>
        <v>0</v>
      </c>
      <c r="G83" s="5" t="s">
        <v>31</v>
      </c>
      <c r="H83" s="4">
        <f>IFERROR(VLOOKUP(G83,enum!F$4:T$30,11,FALSE),"")</f>
        <v>0</v>
      </c>
      <c r="I83" s="5" t="s">
        <v>41</v>
      </c>
      <c r="J83" s="4">
        <f>IFERROR(VLOOKUP(I83,enum!H$4:V$30,9,FALSE),"")</f>
        <v>0</v>
      </c>
      <c r="K83" s="5" t="s">
        <v>50</v>
      </c>
      <c r="L83" s="4">
        <f>IFERROR(VLOOKUP(K83,enum!J$4:X$30,7,FALSE),"")</f>
        <v>0</v>
      </c>
      <c r="M83" s="4">
        <v>0</v>
      </c>
      <c r="N83" s="4">
        <v>0</v>
      </c>
      <c r="O83" s="4">
        <v>0</v>
      </c>
      <c r="P83" s="4">
        <v>0</v>
      </c>
      <c r="Q83" s="5" t="s">
        <v>79</v>
      </c>
      <c r="R83" s="4">
        <f>IFERROR(VLOOKUP(Q83,enum!L$4:Q$30,5,FALSE),"")</f>
        <v>0</v>
      </c>
      <c r="S83" s="9">
        <v>0</v>
      </c>
      <c r="T83"/>
    </row>
    <row r="84" spans="2:20" x14ac:dyDescent="0.15">
      <c r="B84" s="15">
        <v>0</v>
      </c>
      <c r="C84" s="5" t="s">
        <v>13</v>
      </c>
      <c r="D84" s="4">
        <f>IFERROR(VLOOKUP(C84,enum!B$4:P$30,15,FALSE),"")</f>
        <v>0</v>
      </c>
      <c r="E84" s="5" t="s">
        <v>22</v>
      </c>
      <c r="F84" s="4">
        <f>IFERROR(VLOOKUP(E84,enum!D$4:R$30,13,FALSE),"")</f>
        <v>0</v>
      </c>
      <c r="G84" s="5" t="s">
        <v>31</v>
      </c>
      <c r="H84" s="4">
        <f>IFERROR(VLOOKUP(G84,enum!F$4:T$30,11,FALSE),"")</f>
        <v>0</v>
      </c>
      <c r="I84" s="5" t="s">
        <v>41</v>
      </c>
      <c r="J84" s="4">
        <f>IFERROR(VLOOKUP(I84,enum!H$4:V$30,9,FALSE),"")</f>
        <v>0</v>
      </c>
      <c r="K84" s="5" t="s">
        <v>50</v>
      </c>
      <c r="L84" s="4">
        <f>IFERROR(VLOOKUP(K84,enum!J$4:X$30,7,FALSE),"")</f>
        <v>0</v>
      </c>
      <c r="M84" s="4">
        <v>0</v>
      </c>
      <c r="N84" s="4">
        <v>0</v>
      </c>
      <c r="O84" s="4">
        <v>0</v>
      </c>
      <c r="P84" s="4">
        <v>0</v>
      </c>
      <c r="Q84" s="5" t="s">
        <v>79</v>
      </c>
      <c r="R84" s="4">
        <f>IFERROR(VLOOKUP(Q84,enum!L$4:Q$30,5,FALSE),"")</f>
        <v>0</v>
      </c>
      <c r="S84" s="9">
        <v>0</v>
      </c>
      <c r="T84"/>
    </row>
    <row r="85" spans="2:20" x14ac:dyDescent="0.15">
      <c r="B85" s="15">
        <v>0</v>
      </c>
      <c r="C85" s="5" t="s">
        <v>13</v>
      </c>
      <c r="D85" s="4">
        <f>IFERROR(VLOOKUP(C85,enum!B$4:P$30,15,FALSE),"")</f>
        <v>0</v>
      </c>
      <c r="E85" s="5" t="s">
        <v>22</v>
      </c>
      <c r="F85" s="4">
        <f>IFERROR(VLOOKUP(E85,enum!D$4:R$30,13,FALSE),"")</f>
        <v>0</v>
      </c>
      <c r="G85" s="5" t="s">
        <v>31</v>
      </c>
      <c r="H85" s="4">
        <f>IFERROR(VLOOKUP(G85,enum!F$4:T$30,11,FALSE),"")</f>
        <v>0</v>
      </c>
      <c r="I85" s="5" t="s">
        <v>41</v>
      </c>
      <c r="J85" s="4">
        <f>IFERROR(VLOOKUP(I85,enum!H$4:V$30,9,FALSE),"")</f>
        <v>0</v>
      </c>
      <c r="K85" s="5" t="s">
        <v>50</v>
      </c>
      <c r="L85" s="4">
        <f>IFERROR(VLOOKUP(K85,enum!J$4:X$30,7,FALSE),"")</f>
        <v>0</v>
      </c>
      <c r="M85" s="4">
        <v>0</v>
      </c>
      <c r="N85" s="4">
        <v>0</v>
      </c>
      <c r="O85" s="4">
        <v>0</v>
      </c>
      <c r="P85" s="4">
        <v>0</v>
      </c>
      <c r="Q85" s="5" t="s">
        <v>79</v>
      </c>
      <c r="R85" s="4">
        <f>IFERROR(VLOOKUP(Q85,enum!L$4:Q$30,5,FALSE),"")</f>
        <v>0</v>
      </c>
      <c r="S85" s="9">
        <v>0</v>
      </c>
      <c r="T85"/>
    </row>
    <row r="86" spans="2:20" x14ac:dyDescent="0.15">
      <c r="B86" s="15">
        <v>0</v>
      </c>
      <c r="C86" s="5" t="s">
        <v>13</v>
      </c>
      <c r="D86" s="4">
        <f>IFERROR(VLOOKUP(C86,enum!B$4:P$30,15,FALSE),"")</f>
        <v>0</v>
      </c>
      <c r="E86" s="5" t="s">
        <v>22</v>
      </c>
      <c r="F86" s="4">
        <f>IFERROR(VLOOKUP(E86,enum!D$4:R$30,13,FALSE),"")</f>
        <v>0</v>
      </c>
      <c r="G86" s="5" t="s">
        <v>31</v>
      </c>
      <c r="H86" s="4">
        <f>IFERROR(VLOOKUP(G86,enum!F$4:T$30,11,FALSE),"")</f>
        <v>0</v>
      </c>
      <c r="I86" s="5" t="s">
        <v>41</v>
      </c>
      <c r="J86" s="4">
        <f>IFERROR(VLOOKUP(I86,enum!H$4:V$30,9,FALSE),"")</f>
        <v>0</v>
      </c>
      <c r="K86" s="5" t="s">
        <v>50</v>
      </c>
      <c r="L86" s="4">
        <f>IFERROR(VLOOKUP(K86,enum!J$4:X$30,7,FALSE),"")</f>
        <v>0</v>
      </c>
      <c r="M86" s="4">
        <v>0</v>
      </c>
      <c r="N86" s="4">
        <v>0</v>
      </c>
      <c r="O86" s="4">
        <v>0</v>
      </c>
      <c r="P86" s="4">
        <v>0</v>
      </c>
      <c r="Q86" s="5" t="s">
        <v>79</v>
      </c>
      <c r="R86" s="4">
        <f>IFERROR(VLOOKUP(Q86,enum!L$4:Q$30,5,FALSE),"")</f>
        <v>0</v>
      </c>
      <c r="S86" s="9">
        <v>0</v>
      </c>
      <c r="T86"/>
    </row>
    <row r="87" spans="2:20" x14ac:dyDescent="0.15">
      <c r="B87" s="15">
        <v>0</v>
      </c>
      <c r="C87" s="5" t="s">
        <v>13</v>
      </c>
      <c r="D87" s="4">
        <f>IFERROR(VLOOKUP(C87,enum!B$4:P$30,15,FALSE),"")</f>
        <v>0</v>
      </c>
      <c r="E87" s="5" t="s">
        <v>22</v>
      </c>
      <c r="F87" s="4">
        <f>IFERROR(VLOOKUP(E87,enum!D$4:R$30,13,FALSE),"")</f>
        <v>0</v>
      </c>
      <c r="G87" s="5" t="s">
        <v>31</v>
      </c>
      <c r="H87" s="4">
        <f>IFERROR(VLOOKUP(G87,enum!F$4:T$30,11,FALSE),"")</f>
        <v>0</v>
      </c>
      <c r="I87" s="5" t="s">
        <v>41</v>
      </c>
      <c r="J87" s="4">
        <f>IFERROR(VLOOKUP(I87,enum!H$4:V$30,9,FALSE),"")</f>
        <v>0</v>
      </c>
      <c r="K87" s="5" t="s">
        <v>50</v>
      </c>
      <c r="L87" s="4">
        <f>IFERROR(VLOOKUP(K87,enum!J$4:X$30,7,FALSE),"")</f>
        <v>0</v>
      </c>
      <c r="M87" s="4">
        <v>0</v>
      </c>
      <c r="N87" s="4">
        <v>0</v>
      </c>
      <c r="O87" s="4">
        <v>0</v>
      </c>
      <c r="P87" s="4">
        <v>0</v>
      </c>
      <c r="Q87" s="5" t="s">
        <v>79</v>
      </c>
      <c r="R87" s="4">
        <f>IFERROR(VLOOKUP(Q87,enum!L$4:Q$30,5,FALSE),"")</f>
        <v>0</v>
      </c>
      <c r="S87" s="9">
        <v>0</v>
      </c>
      <c r="T87"/>
    </row>
    <row r="88" spans="2:20" x14ac:dyDescent="0.15">
      <c r="B88" s="15">
        <v>0</v>
      </c>
      <c r="C88" s="5" t="s">
        <v>13</v>
      </c>
      <c r="D88" s="4">
        <f>IFERROR(VLOOKUP(C88,enum!B$4:P$30,15,FALSE),"")</f>
        <v>0</v>
      </c>
      <c r="E88" s="5" t="s">
        <v>22</v>
      </c>
      <c r="F88" s="4">
        <f>IFERROR(VLOOKUP(E88,enum!D$4:R$30,13,FALSE),"")</f>
        <v>0</v>
      </c>
      <c r="G88" s="5" t="s">
        <v>31</v>
      </c>
      <c r="H88" s="4">
        <f>IFERROR(VLOOKUP(G88,enum!F$4:T$30,11,FALSE),"")</f>
        <v>0</v>
      </c>
      <c r="I88" s="5" t="s">
        <v>41</v>
      </c>
      <c r="J88" s="4">
        <f>IFERROR(VLOOKUP(I88,enum!H$4:V$30,9,FALSE),"")</f>
        <v>0</v>
      </c>
      <c r="K88" s="5" t="s">
        <v>50</v>
      </c>
      <c r="L88" s="4">
        <f>IFERROR(VLOOKUP(K88,enum!J$4:X$30,7,FALSE),"")</f>
        <v>0</v>
      </c>
      <c r="M88" s="4">
        <v>0</v>
      </c>
      <c r="N88" s="4">
        <v>0</v>
      </c>
      <c r="O88" s="4">
        <v>0</v>
      </c>
      <c r="P88" s="4">
        <v>0</v>
      </c>
      <c r="Q88" s="5" t="s">
        <v>79</v>
      </c>
      <c r="R88" s="4">
        <f>IFERROR(VLOOKUP(Q88,enum!L$4:Q$30,5,FALSE),"")</f>
        <v>0</v>
      </c>
      <c r="S88" s="9">
        <v>0</v>
      </c>
      <c r="T88"/>
    </row>
    <row r="89" spans="2:20" x14ac:dyDescent="0.15">
      <c r="B89" s="15">
        <v>0</v>
      </c>
      <c r="C89" s="5" t="s">
        <v>13</v>
      </c>
      <c r="D89" s="4">
        <f>IFERROR(VLOOKUP(C89,enum!B$4:P$30,15,FALSE),"")</f>
        <v>0</v>
      </c>
      <c r="E89" s="5" t="s">
        <v>22</v>
      </c>
      <c r="F89" s="4">
        <f>IFERROR(VLOOKUP(E89,enum!D$4:R$30,13,FALSE),"")</f>
        <v>0</v>
      </c>
      <c r="G89" s="5" t="s">
        <v>31</v>
      </c>
      <c r="H89" s="4">
        <f>IFERROR(VLOOKUP(G89,enum!F$4:T$30,11,FALSE),"")</f>
        <v>0</v>
      </c>
      <c r="I89" s="5" t="s">
        <v>41</v>
      </c>
      <c r="J89" s="4">
        <f>IFERROR(VLOOKUP(I89,enum!H$4:V$30,9,FALSE),"")</f>
        <v>0</v>
      </c>
      <c r="K89" s="5" t="s">
        <v>50</v>
      </c>
      <c r="L89" s="4">
        <f>IFERROR(VLOOKUP(K89,enum!J$4:X$30,7,FALSE),"")</f>
        <v>0</v>
      </c>
      <c r="M89" s="4">
        <v>0</v>
      </c>
      <c r="N89" s="4">
        <v>0</v>
      </c>
      <c r="O89" s="4">
        <v>0</v>
      </c>
      <c r="P89" s="4">
        <v>0</v>
      </c>
      <c r="Q89" s="5" t="s">
        <v>79</v>
      </c>
      <c r="R89" s="4">
        <f>IFERROR(VLOOKUP(Q89,enum!L$4:Q$30,5,FALSE),"")</f>
        <v>0</v>
      </c>
      <c r="S89" s="9">
        <v>0</v>
      </c>
      <c r="T89"/>
    </row>
    <row r="90" spans="2:20" x14ac:dyDescent="0.15">
      <c r="B90" s="15">
        <v>0</v>
      </c>
      <c r="C90" s="5" t="s">
        <v>13</v>
      </c>
      <c r="D90" s="4">
        <f>IFERROR(VLOOKUP(C90,enum!B$4:P$30,15,FALSE),"")</f>
        <v>0</v>
      </c>
      <c r="E90" s="5" t="s">
        <v>22</v>
      </c>
      <c r="F90" s="4">
        <f>IFERROR(VLOOKUP(E90,enum!D$4:R$30,13,FALSE),"")</f>
        <v>0</v>
      </c>
      <c r="G90" s="5" t="s">
        <v>31</v>
      </c>
      <c r="H90" s="4">
        <f>IFERROR(VLOOKUP(G90,enum!F$4:T$30,11,FALSE),"")</f>
        <v>0</v>
      </c>
      <c r="I90" s="5" t="s">
        <v>41</v>
      </c>
      <c r="J90" s="4">
        <f>IFERROR(VLOOKUP(I90,enum!H$4:V$30,9,FALSE),"")</f>
        <v>0</v>
      </c>
      <c r="K90" s="5" t="s">
        <v>50</v>
      </c>
      <c r="L90" s="4">
        <f>IFERROR(VLOOKUP(K90,enum!J$4:X$30,7,FALSE),"")</f>
        <v>0</v>
      </c>
      <c r="M90" s="4">
        <v>0</v>
      </c>
      <c r="N90" s="4">
        <v>0</v>
      </c>
      <c r="O90" s="4">
        <v>0</v>
      </c>
      <c r="P90" s="4">
        <v>0</v>
      </c>
      <c r="Q90" s="5" t="s">
        <v>79</v>
      </c>
      <c r="R90" s="4">
        <f>IFERROR(VLOOKUP(Q90,enum!L$4:Q$30,5,FALSE),"")</f>
        <v>0</v>
      </c>
      <c r="S90" s="9">
        <v>0</v>
      </c>
      <c r="T90"/>
    </row>
    <row r="91" spans="2:20" x14ac:dyDescent="0.15">
      <c r="B91" s="15">
        <v>0</v>
      </c>
      <c r="C91" s="5" t="s">
        <v>13</v>
      </c>
      <c r="D91" s="4">
        <f>IFERROR(VLOOKUP(C91,enum!B$4:P$30,15,FALSE),"")</f>
        <v>0</v>
      </c>
      <c r="E91" s="5" t="s">
        <v>22</v>
      </c>
      <c r="F91" s="4">
        <f>IFERROR(VLOOKUP(E91,enum!D$4:R$30,13,FALSE),"")</f>
        <v>0</v>
      </c>
      <c r="G91" s="5" t="s">
        <v>31</v>
      </c>
      <c r="H91" s="4">
        <f>IFERROR(VLOOKUP(G91,enum!F$4:T$30,11,FALSE),"")</f>
        <v>0</v>
      </c>
      <c r="I91" s="5" t="s">
        <v>41</v>
      </c>
      <c r="J91" s="4">
        <f>IFERROR(VLOOKUP(I91,enum!H$4:V$30,9,FALSE),"")</f>
        <v>0</v>
      </c>
      <c r="K91" s="5" t="s">
        <v>50</v>
      </c>
      <c r="L91" s="4">
        <f>IFERROR(VLOOKUP(K91,enum!J$4:X$30,7,FALSE),"")</f>
        <v>0</v>
      </c>
      <c r="M91" s="4">
        <v>0</v>
      </c>
      <c r="N91" s="4">
        <v>0</v>
      </c>
      <c r="O91" s="4">
        <v>0</v>
      </c>
      <c r="P91" s="4">
        <v>0</v>
      </c>
      <c r="Q91" s="5" t="s">
        <v>79</v>
      </c>
      <c r="R91" s="4">
        <f>IFERROR(VLOOKUP(Q91,enum!L$4:Q$30,5,FALSE),"")</f>
        <v>0</v>
      </c>
      <c r="S91" s="9">
        <v>0</v>
      </c>
      <c r="T91"/>
    </row>
    <row r="92" spans="2:20" x14ac:dyDescent="0.15">
      <c r="B92" s="15">
        <v>0</v>
      </c>
      <c r="C92" s="5" t="s">
        <v>13</v>
      </c>
      <c r="D92" s="4">
        <f>IFERROR(VLOOKUP(C92,enum!B$4:P$30,15,FALSE),"")</f>
        <v>0</v>
      </c>
      <c r="E92" s="5" t="s">
        <v>22</v>
      </c>
      <c r="F92" s="4">
        <f>IFERROR(VLOOKUP(E92,enum!D$4:R$30,13,FALSE),"")</f>
        <v>0</v>
      </c>
      <c r="G92" s="5" t="s">
        <v>31</v>
      </c>
      <c r="H92" s="4">
        <f>IFERROR(VLOOKUP(G92,enum!F$4:T$30,11,FALSE),"")</f>
        <v>0</v>
      </c>
      <c r="I92" s="5" t="s">
        <v>41</v>
      </c>
      <c r="J92" s="4">
        <f>IFERROR(VLOOKUP(I92,enum!H$4:V$30,9,FALSE),"")</f>
        <v>0</v>
      </c>
      <c r="K92" s="5" t="s">
        <v>50</v>
      </c>
      <c r="L92" s="4">
        <f>IFERROR(VLOOKUP(K92,enum!J$4:X$30,7,FALSE),"")</f>
        <v>0</v>
      </c>
      <c r="M92" s="4">
        <v>0</v>
      </c>
      <c r="N92" s="4">
        <v>0</v>
      </c>
      <c r="O92" s="4">
        <v>0</v>
      </c>
      <c r="P92" s="4">
        <v>0</v>
      </c>
      <c r="Q92" s="5" t="s">
        <v>79</v>
      </c>
      <c r="R92" s="4">
        <f>IFERROR(VLOOKUP(Q92,enum!L$4:Q$30,5,FALSE),"")</f>
        <v>0</v>
      </c>
      <c r="S92" s="9">
        <v>0</v>
      </c>
      <c r="T92"/>
    </row>
    <row r="93" spans="2:20" x14ac:dyDescent="0.15">
      <c r="B93" s="15">
        <v>0</v>
      </c>
      <c r="C93" s="5" t="s">
        <v>13</v>
      </c>
      <c r="D93" s="4">
        <f>IFERROR(VLOOKUP(C93,enum!B$4:P$30,15,FALSE),"")</f>
        <v>0</v>
      </c>
      <c r="E93" s="5" t="s">
        <v>22</v>
      </c>
      <c r="F93" s="4">
        <f>IFERROR(VLOOKUP(E93,enum!D$4:R$30,13,FALSE),"")</f>
        <v>0</v>
      </c>
      <c r="G93" s="5" t="s">
        <v>31</v>
      </c>
      <c r="H93" s="4">
        <f>IFERROR(VLOOKUP(G93,enum!F$4:T$30,11,FALSE),"")</f>
        <v>0</v>
      </c>
      <c r="I93" s="5" t="s">
        <v>41</v>
      </c>
      <c r="J93" s="4">
        <f>IFERROR(VLOOKUP(I93,enum!H$4:V$30,9,FALSE),"")</f>
        <v>0</v>
      </c>
      <c r="K93" s="5" t="s">
        <v>50</v>
      </c>
      <c r="L93" s="4">
        <f>IFERROR(VLOOKUP(K93,enum!J$4:X$30,7,FALSE),"")</f>
        <v>0</v>
      </c>
      <c r="M93" s="4">
        <v>0</v>
      </c>
      <c r="N93" s="4">
        <v>0</v>
      </c>
      <c r="O93" s="4">
        <v>0</v>
      </c>
      <c r="P93" s="4">
        <v>0</v>
      </c>
      <c r="Q93" s="5" t="s">
        <v>79</v>
      </c>
      <c r="R93" s="4">
        <f>IFERROR(VLOOKUP(Q93,enum!L$4:Q$30,5,FALSE),"")</f>
        <v>0</v>
      </c>
      <c r="S93" s="9">
        <v>0</v>
      </c>
      <c r="T93"/>
    </row>
    <row r="94" spans="2:20" x14ac:dyDescent="0.15">
      <c r="B94" s="15">
        <v>0</v>
      </c>
      <c r="C94" s="5" t="s">
        <v>13</v>
      </c>
      <c r="D94" s="4">
        <f>IFERROR(VLOOKUP(C94,enum!B$4:P$30,15,FALSE),"")</f>
        <v>0</v>
      </c>
      <c r="E94" s="5" t="s">
        <v>22</v>
      </c>
      <c r="F94" s="4">
        <f>IFERROR(VLOOKUP(E94,enum!D$4:R$30,13,FALSE),"")</f>
        <v>0</v>
      </c>
      <c r="G94" s="5" t="s">
        <v>31</v>
      </c>
      <c r="H94" s="4">
        <f>IFERROR(VLOOKUP(G94,enum!F$4:T$30,11,FALSE),"")</f>
        <v>0</v>
      </c>
      <c r="I94" s="5" t="s">
        <v>41</v>
      </c>
      <c r="J94" s="4">
        <f>IFERROR(VLOOKUP(I94,enum!H$4:V$30,9,FALSE),"")</f>
        <v>0</v>
      </c>
      <c r="K94" s="5" t="s">
        <v>50</v>
      </c>
      <c r="L94" s="4">
        <f>IFERROR(VLOOKUP(K94,enum!J$4:X$30,7,FALSE),"")</f>
        <v>0</v>
      </c>
      <c r="M94" s="4">
        <v>0</v>
      </c>
      <c r="N94" s="4">
        <v>0</v>
      </c>
      <c r="O94" s="4">
        <v>0</v>
      </c>
      <c r="P94" s="4">
        <v>0</v>
      </c>
      <c r="Q94" s="5" t="s">
        <v>79</v>
      </c>
      <c r="R94" s="4">
        <f>IFERROR(VLOOKUP(Q94,enum!L$4:Q$30,5,FALSE),"")</f>
        <v>0</v>
      </c>
      <c r="S94" s="9">
        <v>0</v>
      </c>
      <c r="T94"/>
    </row>
    <row r="95" spans="2:20" x14ac:dyDescent="0.15">
      <c r="B95" s="15">
        <v>0</v>
      </c>
      <c r="C95" s="5" t="s">
        <v>13</v>
      </c>
      <c r="D95" s="4">
        <f>IFERROR(VLOOKUP(C95,enum!B$4:P$30,15,FALSE),"")</f>
        <v>0</v>
      </c>
      <c r="E95" s="5" t="s">
        <v>22</v>
      </c>
      <c r="F95" s="4">
        <f>IFERROR(VLOOKUP(E95,enum!D$4:R$30,13,FALSE),"")</f>
        <v>0</v>
      </c>
      <c r="G95" s="5" t="s">
        <v>31</v>
      </c>
      <c r="H95" s="4">
        <f>IFERROR(VLOOKUP(G95,enum!F$4:T$30,11,FALSE),"")</f>
        <v>0</v>
      </c>
      <c r="I95" s="5" t="s">
        <v>41</v>
      </c>
      <c r="J95" s="4">
        <f>IFERROR(VLOOKUP(I95,enum!H$4:V$30,9,FALSE),"")</f>
        <v>0</v>
      </c>
      <c r="K95" s="5" t="s">
        <v>50</v>
      </c>
      <c r="L95" s="4">
        <f>IFERROR(VLOOKUP(K95,enum!J$4:X$30,7,FALSE),"")</f>
        <v>0</v>
      </c>
      <c r="M95" s="4">
        <v>0</v>
      </c>
      <c r="N95" s="4">
        <v>0</v>
      </c>
      <c r="O95" s="4">
        <v>0</v>
      </c>
      <c r="P95" s="4">
        <v>0</v>
      </c>
      <c r="Q95" s="5" t="s">
        <v>79</v>
      </c>
      <c r="R95" s="4">
        <f>IFERROR(VLOOKUP(Q95,enum!L$4:Q$30,5,FALSE),"")</f>
        <v>0</v>
      </c>
      <c r="S95" s="9">
        <v>0</v>
      </c>
      <c r="T95"/>
    </row>
    <row r="96" spans="2:20" x14ac:dyDescent="0.15">
      <c r="B96" s="15">
        <v>0</v>
      </c>
      <c r="C96" s="5" t="s">
        <v>13</v>
      </c>
      <c r="D96" s="4">
        <f>IFERROR(VLOOKUP(C96,enum!B$4:P$30,15,FALSE),"")</f>
        <v>0</v>
      </c>
      <c r="E96" s="5" t="s">
        <v>22</v>
      </c>
      <c r="F96" s="4">
        <f>IFERROR(VLOOKUP(E96,enum!D$4:R$30,13,FALSE),"")</f>
        <v>0</v>
      </c>
      <c r="G96" s="5" t="s">
        <v>31</v>
      </c>
      <c r="H96" s="4">
        <f>IFERROR(VLOOKUP(G96,enum!F$4:T$30,11,FALSE),"")</f>
        <v>0</v>
      </c>
      <c r="I96" s="5" t="s">
        <v>41</v>
      </c>
      <c r="J96" s="4">
        <f>IFERROR(VLOOKUP(I96,enum!H$4:V$30,9,FALSE),"")</f>
        <v>0</v>
      </c>
      <c r="K96" s="5" t="s">
        <v>50</v>
      </c>
      <c r="L96" s="4">
        <f>IFERROR(VLOOKUP(K96,enum!J$4:X$30,7,FALSE),"")</f>
        <v>0</v>
      </c>
      <c r="M96" s="4">
        <v>0</v>
      </c>
      <c r="N96" s="4">
        <v>0</v>
      </c>
      <c r="O96" s="4">
        <v>0</v>
      </c>
      <c r="P96" s="4">
        <v>0</v>
      </c>
      <c r="Q96" s="5" t="s">
        <v>79</v>
      </c>
      <c r="R96" s="4">
        <f>IFERROR(VLOOKUP(Q96,enum!L$4:Q$30,5,FALSE),"")</f>
        <v>0</v>
      </c>
      <c r="S96" s="9">
        <v>0</v>
      </c>
      <c r="T96"/>
    </row>
    <row r="97" spans="2:20" x14ac:dyDescent="0.15">
      <c r="B97" s="15">
        <v>0</v>
      </c>
      <c r="C97" s="5" t="s">
        <v>13</v>
      </c>
      <c r="D97" s="4">
        <f>IFERROR(VLOOKUP(C97,enum!B$4:P$30,15,FALSE),"")</f>
        <v>0</v>
      </c>
      <c r="E97" s="5" t="s">
        <v>22</v>
      </c>
      <c r="F97" s="4">
        <f>IFERROR(VLOOKUP(E97,enum!D$4:R$30,13,FALSE),"")</f>
        <v>0</v>
      </c>
      <c r="G97" s="5" t="s">
        <v>31</v>
      </c>
      <c r="H97" s="4">
        <f>IFERROR(VLOOKUP(G97,enum!F$4:T$30,11,FALSE),"")</f>
        <v>0</v>
      </c>
      <c r="I97" s="5" t="s">
        <v>41</v>
      </c>
      <c r="J97" s="4">
        <f>IFERROR(VLOOKUP(I97,enum!H$4:V$30,9,FALSE),"")</f>
        <v>0</v>
      </c>
      <c r="K97" s="5" t="s">
        <v>50</v>
      </c>
      <c r="L97" s="4">
        <f>IFERROR(VLOOKUP(K97,enum!J$4:X$30,7,FALSE),"")</f>
        <v>0</v>
      </c>
      <c r="M97" s="4">
        <v>0</v>
      </c>
      <c r="N97" s="4">
        <v>0</v>
      </c>
      <c r="O97" s="4">
        <v>0</v>
      </c>
      <c r="P97" s="4">
        <v>0</v>
      </c>
      <c r="Q97" s="5" t="s">
        <v>79</v>
      </c>
      <c r="R97" s="4">
        <f>IFERROR(VLOOKUP(Q97,enum!L$4:Q$30,5,FALSE),"")</f>
        <v>0</v>
      </c>
      <c r="S97" s="9">
        <v>0</v>
      </c>
      <c r="T97"/>
    </row>
    <row r="98" spans="2:20" x14ac:dyDescent="0.15">
      <c r="B98" s="15">
        <v>0</v>
      </c>
      <c r="C98" s="5" t="s">
        <v>13</v>
      </c>
      <c r="D98" s="4">
        <f>IFERROR(VLOOKUP(C98,enum!B$4:P$30,15,FALSE),"")</f>
        <v>0</v>
      </c>
      <c r="E98" s="5" t="s">
        <v>22</v>
      </c>
      <c r="F98" s="4">
        <f>IFERROR(VLOOKUP(E98,enum!D$4:R$30,13,FALSE),"")</f>
        <v>0</v>
      </c>
      <c r="G98" s="5" t="s">
        <v>31</v>
      </c>
      <c r="H98" s="4">
        <f>IFERROR(VLOOKUP(G98,enum!F$4:T$30,11,FALSE),"")</f>
        <v>0</v>
      </c>
      <c r="I98" s="5" t="s">
        <v>41</v>
      </c>
      <c r="J98" s="4">
        <f>IFERROR(VLOOKUP(I98,enum!H$4:V$30,9,FALSE),"")</f>
        <v>0</v>
      </c>
      <c r="K98" s="5" t="s">
        <v>50</v>
      </c>
      <c r="L98" s="4">
        <f>IFERROR(VLOOKUP(K98,enum!J$4:X$30,7,FALSE),"")</f>
        <v>0</v>
      </c>
      <c r="M98" s="4">
        <v>0</v>
      </c>
      <c r="N98" s="4">
        <v>0</v>
      </c>
      <c r="O98" s="4">
        <v>0</v>
      </c>
      <c r="P98" s="4">
        <v>0</v>
      </c>
      <c r="Q98" s="5" t="s">
        <v>79</v>
      </c>
      <c r="R98" s="4">
        <f>IFERROR(VLOOKUP(Q98,enum!L$4:Q$30,5,FALSE),"")</f>
        <v>0</v>
      </c>
      <c r="S98" s="9">
        <v>0</v>
      </c>
      <c r="T98"/>
    </row>
    <row r="99" spans="2:20" x14ac:dyDescent="0.15">
      <c r="B99" s="15">
        <v>0</v>
      </c>
      <c r="C99" s="5" t="s">
        <v>13</v>
      </c>
      <c r="D99" s="4">
        <f>IFERROR(VLOOKUP(C99,enum!B$4:P$30,15,FALSE),"")</f>
        <v>0</v>
      </c>
      <c r="E99" s="5" t="s">
        <v>22</v>
      </c>
      <c r="F99" s="4">
        <f>IFERROR(VLOOKUP(E99,enum!D$4:R$30,13,FALSE),"")</f>
        <v>0</v>
      </c>
      <c r="G99" s="5" t="s">
        <v>31</v>
      </c>
      <c r="H99" s="4">
        <f>IFERROR(VLOOKUP(G99,enum!F$4:T$30,11,FALSE),"")</f>
        <v>0</v>
      </c>
      <c r="I99" s="5" t="s">
        <v>41</v>
      </c>
      <c r="J99" s="4">
        <f>IFERROR(VLOOKUP(I99,enum!H$4:V$30,9,FALSE),"")</f>
        <v>0</v>
      </c>
      <c r="K99" s="5" t="s">
        <v>50</v>
      </c>
      <c r="L99" s="4">
        <f>IFERROR(VLOOKUP(K99,enum!J$4:X$30,7,FALSE),"")</f>
        <v>0</v>
      </c>
      <c r="M99" s="4">
        <v>0</v>
      </c>
      <c r="N99" s="4">
        <v>0</v>
      </c>
      <c r="O99" s="4">
        <v>0</v>
      </c>
      <c r="P99" s="4">
        <v>0</v>
      </c>
      <c r="Q99" s="5" t="s">
        <v>79</v>
      </c>
      <c r="R99" s="4">
        <f>IFERROR(VLOOKUP(Q99,enum!L$4:Q$30,5,FALSE),"")</f>
        <v>0</v>
      </c>
      <c r="S99" s="9">
        <v>0</v>
      </c>
      <c r="T99"/>
    </row>
    <row r="100" spans="2:20" x14ac:dyDescent="0.15">
      <c r="B100" s="15">
        <v>0</v>
      </c>
      <c r="C100" s="5" t="s">
        <v>13</v>
      </c>
      <c r="D100" s="4">
        <f>IFERROR(VLOOKUP(C100,enum!B$4:P$30,15,FALSE),"")</f>
        <v>0</v>
      </c>
      <c r="E100" s="5" t="s">
        <v>22</v>
      </c>
      <c r="F100" s="4">
        <f>IFERROR(VLOOKUP(E100,enum!D$4:R$30,13,FALSE),"")</f>
        <v>0</v>
      </c>
      <c r="G100" s="5" t="s">
        <v>31</v>
      </c>
      <c r="H100" s="4">
        <f>IFERROR(VLOOKUP(G100,enum!F$4:T$30,11,FALSE),"")</f>
        <v>0</v>
      </c>
      <c r="I100" s="5" t="s">
        <v>41</v>
      </c>
      <c r="J100" s="4">
        <f>IFERROR(VLOOKUP(I100,enum!H$4:V$30,9,FALSE),"")</f>
        <v>0</v>
      </c>
      <c r="K100" s="5" t="s">
        <v>50</v>
      </c>
      <c r="L100" s="4">
        <f>IFERROR(VLOOKUP(K100,enum!J$4:X$30,7,FALSE),"")</f>
        <v>0</v>
      </c>
      <c r="M100" s="4">
        <v>0</v>
      </c>
      <c r="N100" s="4">
        <v>0</v>
      </c>
      <c r="O100" s="4">
        <v>0</v>
      </c>
      <c r="P100" s="4">
        <v>0</v>
      </c>
      <c r="Q100" s="5" t="s">
        <v>79</v>
      </c>
      <c r="R100" s="4">
        <f>IFERROR(VLOOKUP(Q100,enum!L$4:Q$30,5,FALSE),"")</f>
        <v>0</v>
      </c>
      <c r="S100" s="9">
        <v>0</v>
      </c>
      <c r="T100"/>
    </row>
    <row r="101" spans="2:20" x14ac:dyDescent="0.15">
      <c r="B101" s="15">
        <v>0</v>
      </c>
      <c r="C101" s="5" t="s">
        <v>13</v>
      </c>
      <c r="D101" s="4">
        <f>IFERROR(VLOOKUP(C101,enum!B$4:P$30,15,FALSE),"")</f>
        <v>0</v>
      </c>
      <c r="E101" s="5" t="s">
        <v>22</v>
      </c>
      <c r="F101" s="4">
        <f>IFERROR(VLOOKUP(E101,enum!D$4:R$30,13,FALSE),"")</f>
        <v>0</v>
      </c>
      <c r="G101" s="5" t="s">
        <v>31</v>
      </c>
      <c r="H101" s="4">
        <f>IFERROR(VLOOKUP(G101,enum!F$4:T$30,11,FALSE),"")</f>
        <v>0</v>
      </c>
      <c r="I101" s="5" t="s">
        <v>41</v>
      </c>
      <c r="J101" s="4">
        <f>IFERROR(VLOOKUP(I101,enum!H$4:V$30,9,FALSE),"")</f>
        <v>0</v>
      </c>
      <c r="K101" s="5" t="s">
        <v>50</v>
      </c>
      <c r="L101" s="4">
        <f>IFERROR(VLOOKUP(K101,enum!J$4:X$30,7,FALSE),"")</f>
        <v>0</v>
      </c>
      <c r="M101" s="4">
        <v>0</v>
      </c>
      <c r="N101" s="4">
        <v>0</v>
      </c>
      <c r="O101" s="4">
        <v>0</v>
      </c>
      <c r="P101" s="4">
        <v>0</v>
      </c>
      <c r="Q101" s="5" t="s">
        <v>79</v>
      </c>
      <c r="R101" s="4">
        <f>IFERROR(VLOOKUP(Q101,enum!L$4:Q$30,5,FALSE),"")</f>
        <v>0</v>
      </c>
      <c r="S101" s="9">
        <v>0</v>
      </c>
      <c r="T101"/>
    </row>
    <row r="102" spans="2:20" x14ac:dyDescent="0.15">
      <c r="B102" s="15">
        <v>0</v>
      </c>
      <c r="C102" s="5" t="s">
        <v>13</v>
      </c>
      <c r="D102" s="4">
        <f>IFERROR(VLOOKUP(C102,enum!B$4:P$30,15,FALSE),"")</f>
        <v>0</v>
      </c>
      <c r="E102" s="5" t="s">
        <v>22</v>
      </c>
      <c r="F102" s="4">
        <f>IFERROR(VLOOKUP(E102,enum!D$4:R$30,13,FALSE),"")</f>
        <v>0</v>
      </c>
      <c r="G102" s="5" t="s">
        <v>31</v>
      </c>
      <c r="H102" s="4">
        <f>IFERROR(VLOOKUP(G102,enum!F$4:T$30,11,FALSE),"")</f>
        <v>0</v>
      </c>
      <c r="I102" s="5" t="s">
        <v>41</v>
      </c>
      <c r="J102" s="4">
        <f>IFERROR(VLOOKUP(I102,enum!H$4:V$30,9,FALSE),"")</f>
        <v>0</v>
      </c>
      <c r="K102" s="5" t="s">
        <v>50</v>
      </c>
      <c r="L102" s="4">
        <f>IFERROR(VLOOKUP(K102,enum!J$4:X$30,7,FALSE),"")</f>
        <v>0</v>
      </c>
      <c r="M102" s="4">
        <v>0</v>
      </c>
      <c r="N102" s="4">
        <v>0</v>
      </c>
      <c r="O102" s="4">
        <v>0</v>
      </c>
      <c r="P102" s="4">
        <v>0</v>
      </c>
      <c r="Q102" s="5" t="s">
        <v>79</v>
      </c>
      <c r="R102" s="4">
        <f>IFERROR(VLOOKUP(Q102,enum!L$4:Q$30,5,FALSE),"")</f>
        <v>0</v>
      </c>
      <c r="S102" s="9">
        <v>0</v>
      </c>
      <c r="T102"/>
    </row>
    <row r="103" spans="2:20" x14ac:dyDescent="0.15">
      <c r="B103" s="15">
        <v>0</v>
      </c>
      <c r="C103" s="5" t="s">
        <v>13</v>
      </c>
      <c r="D103" s="4">
        <f>IFERROR(VLOOKUP(C103,enum!B$4:P$30,15,FALSE),"")</f>
        <v>0</v>
      </c>
      <c r="E103" s="5" t="s">
        <v>22</v>
      </c>
      <c r="F103" s="4">
        <f>IFERROR(VLOOKUP(E103,enum!D$4:R$30,13,FALSE),"")</f>
        <v>0</v>
      </c>
      <c r="G103" s="5" t="s">
        <v>31</v>
      </c>
      <c r="H103" s="4">
        <f>IFERROR(VLOOKUP(G103,enum!F$4:T$30,11,FALSE),"")</f>
        <v>0</v>
      </c>
      <c r="I103" s="5" t="s">
        <v>41</v>
      </c>
      <c r="J103" s="4">
        <f>IFERROR(VLOOKUP(I103,enum!H$4:V$30,9,FALSE),"")</f>
        <v>0</v>
      </c>
      <c r="K103" s="5" t="s">
        <v>50</v>
      </c>
      <c r="L103" s="4">
        <f>IFERROR(VLOOKUP(K103,enum!J$4:X$30,7,FALSE),"")</f>
        <v>0</v>
      </c>
      <c r="M103" s="4">
        <v>0</v>
      </c>
      <c r="N103" s="4">
        <v>0</v>
      </c>
      <c r="O103" s="4">
        <v>0</v>
      </c>
      <c r="P103" s="4">
        <v>0</v>
      </c>
      <c r="Q103" s="5" t="s">
        <v>79</v>
      </c>
      <c r="R103" s="4">
        <f>IFERROR(VLOOKUP(Q103,enum!L$4:Q$30,5,FALSE),"")</f>
        <v>0</v>
      </c>
      <c r="S103" s="9">
        <v>0</v>
      </c>
      <c r="T103"/>
    </row>
    <row r="104" spans="2:20" x14ac:dyDescent="0.15">
      <c r="B104" s="15">
        <v>0</v>
      </c>
      <c r="C104" s="5" t="s">
        <v>13</v>
      </c>
      <c r="D104" s="4">
        <f>IFERROR(VLOOKUP(C104,enum!B$4:P$30,15,FALSE),"")</f>
        <v>0</v>
      </c>
      <c r="E104" s="5" t="s">
        <v>22</v>
      </c>
      <c r="F104" s="4">
        <f>IFERROR(VLOOKUP(E104,enum!D$4:R$30,13,FALSE),"")</f>
        <v>0</v>
      </c>
      <c r="G104" s="5" t="s">
        <v>31</v>
      </c>
      <c r="H104" s="4">
        <f>IFERROR(VLOOKUP(G104,enum!F$4:T$30,11,FALSE),"")</f>
        <v>0</v>
      </c>
      <c r="I104" s="5" t="s">
        <v>41</v>
      </c>
      <c r="J104" s="4">
        <f>IFERROR(VLOOKUP(I104,enum!H$4:V$30,9,FALSE),"")</f>
        <v>0</v>
      </c>
      <c r="K104" s="5" t="s">
        <v>50</v>
      </c>
      <c r="L104" s="4">
        <f>IFERROR(VLOOKUP(K104,enum!J$4:X$30,7,FALSE),"")</f>
        <v>0</v>
      </c>
      <c r="M104" s="4">
        <v>0</v>
      </c>
      <c r="N104" s="4">
        <v>0</v>
      </c>
      <c r="O104" s="4">
        <v>0</v>
      </c>
      <c r="P104" s="4">
        <v>0</v>
      </c>
      <c r="Q104" s="5" t="s">
        <v>79</v>
      </c>
      <c r="R104" s="4">
        <f>IFERROR(VLOOKUP(Q104,enum!L$4:Q$30,5,FALSE),"")</f>
        <v>0</v>
      </c>
      <c r="S104" s="9">
        <v>0</v>
      </c>
      <c r="T104"/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SAVE_NORMAL">
                <anchor moveWithCells="1" sizeWithCells="1">
                  <from>
                    <xdr:col>6</xdr:col>
                    <xdr:colOff>19050</xdr:colOff>
                    <xdr:row>0</xdr:row>
                    <xdr:rowOff>133350</xdr:rowOff>
                  </from>
                  <to>
                    <xdr:col>10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enum!$L$4:$L$6</xm:f>
          </x14:formula1>
          <xm:sqref>Q6:Q104</xm:sqref>
        </x14:dataValidation>
        <x14:dataValidation type="list" allowBlank="1" showInputMessage="1" showErrorMessage="1">
          <x14:formula1>
            <xm:f>enum!$J$4:$J$30</xm:f>
          </x14:formula1>
          <xm:sqref>K6:K104</xm:sqref>
        </x14:dataValidation>
        <x14:dataValidation type="list" allowBlank="1" showInputMessage="1" showErrorMessage="1">
          <x14:formula1>
            <xm:f>enum!$H$4:$H$12</xm:f>
          </x14:formula1>
          <xm:sqref>I6:I104</xm:sqref>
        </x14:dataValidation>
        <x14:dataValidation type="list" allowBlank="1" showInputMessage="1" showErrorMessage="1">
          <x14:formula1>
            <xm:f>enum!$F$4:$F$13</xm:f>
          </x14:formula1>
          <xm:sqref>G6:G104</xm:sqref>
        </x14:dataValidation>
        <x14:dataValidation type="list" allowBlank="1" showInputMessage="1" showErrorMessage="1">
          <x14:formula1>
            <xm:f>enum!$D$4:$D$30</xm:f>
          </x14:formula1>
          <xm:sqref>E6:E104</xm:sqref>
        </x14:dataValidation>
        <x14:dataValidation type="list" allowBlank="1" showInputMessage="1" showErrorMessage="1">
          <x14:formula1>
            <xm:f>enum!$B$4:$B$13</xm:f>
          </x14:formula1>
          <xm:sqref>C6:C104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T104"/>
  <sheetViews>
    <sheetView zoomScale="130" zoomScaleNormal="130" workbookViewId="0">
      <pane xSplit="2" ySplit="5" topLeftCell="C63" activePane="bottomRight" state="frozen"/>
      <selection pane="topRight" activeCell="C1" sqref="C1"/>
      <selection pane="bottomLeft" activeCell="A6" sqref="A6"/>
      <selection pane="bottomRight" activeCell="B68" sqref="B68:S104"/>
    </sheetView>
  </sheetViews>
  <sheetFormatPr defaultRowHeight="13.5" x14ac:dyDescent="0.15"/>
  <cols>
    <col min="2" max="2" width="8" style="2" customWidth="1"/>
    <col min="3" max="3" width="9.625" style="2" customWidth="1"/>
    <col min="4" max="4" width="7.125" hidden="1" customWidth="1"/>
    <col min="5" max="5" width="8" style="2" customWidth="1"/>
    <col min="6" max="6" width="8" hidden="1" customWidth="1"/>
    <col min="7" max="7" width="8" style="2" customWidth="1"/>
    <col min="8" max="8" width="8" hidden="1" customWidth="1"/>
    <col min="9" max="9" width="8.75" style="2" customWidth="1"/>
    <col min="10" max="10" width="8" hidden="1" customWidth="1"/>
    <col min="11" max="11" width="9.25" style="2" customWidth="1"/>
    <col min="12" max="12" width="8" hidden="1" customWidth="1"/>
    <col min="13" max="16" width="8" style="2" customWidth="1"/>
    <col min="17" max="17" width="8.625" style="2" customWidth="1"/>
    <col min="18" max="18" width="8" customWidth="1"/>
    <col min="19" max="19" width="8" style="2" customWidth="1"/>
    <col min="20" max="20" width="8.25" style="2" customWidth="1"/>
  </cols>
  <sheetData>
    <row r="1" spans="2:20" ht="14.25" thickBot="1" x14ac:dyDescent="0.2"/>
    <row r="2" spans="2:20" ht="14.25" thickBot="1" x14ac:dyDescent="0.2">
      <c r="B2" s="23" t="s">
        <v>92</v>
      </c>
      <c r="C2" s="22"/>
    </row>
    <row r="4" spans="2:20" s="2" customFormat="1" hidden="1" x14ac:dyDescent="0.15">
      <c r="B4" s="19" t="s">
        <v>11</v>
      </c>
      <c r="C4" s="20">
        <v>1</v>
      </c>
      <c r="D4" s="20"/>
      <c r="E4" s="20">
        <v>2</v>
      </c>
      <c r="F4" s="20"/>
      <c r="G4" s="20">
        <v>3</v>
      </c>
      <c r="H4" s="20"/>
      <c r="I4" s="20">
        <v>4</v>
      </c>
      <c r="J4" s="20"/>
      <c r="K4" s="20">
        <v>5</v>
      </c>
      <c r="L4" s="20"/>
      <c r="M4" s="20">
        <v>6</v>
      </c>
      <c r="N4" s="20">
        <v>7</v>
      </c>
      <c r="O4" s="20">
        <v>8</v>
      </c>
      <c r="P4" s="20">
        <v>9</v>
      </c>
      <c r="Q4" s="20">
        <v>10</v>
      </c>
      <c r="R4" s="20"/>
      <c r="S4" s="21">
        <v>11</v>
      </c>
    </row>
    <row r="5" spans="2:20" s="10" customFormat="1" ht="26.25" customHeight="1" thickBot="1" x14ac:dyDescent="0.2">
      <c r="B5" s="11" t="s">
        <v>88</v>
      </c>
      <c r="C5" s="12" t="s">
        <v>87</v>
      </c>
      <c r="D5" s="13" t="s">
        <v>81</v>
      </c>
      <c r="E5" s="12" t="s">
        <v>9</v>
      </c>
      <c r="F5" s="13" t="s">
        <v>82</v>
      </c>
      <c r="G5" s="12" t="s">
        <v>0</v>
      </c>
      <c r="H5" s="13" t="s">
        <v>83</v>
      </c>
      <c r="I5" s="12" t="s">
        <v>1</v>
      </c>
      <c r="J5" s="13" t="s">
        <v>84</v>
      </c>
      <c r="K5" s="12" t="s">
        <v>2</v>
      </c>
      <c r="L5" s="13" t="s">
        <v>85</v>
      </c>
      <c r="M5" s="12" t="s">
        <v>3</v>
      </c>
      <c r="N5" s="12" t="s">
        <v>4</v>
      </c>
      <c r="O5" s="12" t="s">
        <v>5</v>
      </c>
      <c r="P5" s="12" t="s">
        <v>6</v>
      </c>
      <c r="Q5" s="12" t="s">
        <v>7</v>
      </c>
      <c r="R5" s="13" t="s">
        <v>86</v>
      </c>
      <c r="S5" s="14" t="s">
        <v>8</v>
      </c>
    </row>
    <row r="6" spans="2:20" x14ac:dyDescent="0.15">
      <c r="B6" s="3">
        <v>200</v>
      </c>
      <c r="C6" s="6" t="s">
        <v>13</v>
      </c>
      <c r="D6" s="7">
        <f>IFERROR(VLOOKUP(C6,enum!B$4:P$30,15,FALSE),"")</f>
        <v>0</v>
      </c>
      <c r="E6" s="6" t="s">
        <v>24</v>
      </c>
      <c r="F6" s="7">
        <f>IFERROR(VLOOKUP(E6,enum!D$4:R$30,13,FALSE),"")</f>
        <v>2</v>
      </c>
      <c r="G6" s="6" t="s">
        <v>35</v>
      </c>
      <c r="H6" s="7">
        <f>IFERROR(VLOOKUP(G6,enum!F$4:T$30,11,FALSE),"")</f>
        <v>4</v>
      </c>
      <c r="I6" s="6" t="s">
        <v>41</v>
      </c>
      <c r="J6" s="7">
        <f>IFERROR(VLOOKUP(I6,enum!H$4:V$30,9,FALSE),"")</f>
        <v>0</v>
      </c>
      <c r="K6" s="6" t="s">
        <v>50</v>
      </c>
      <c r="L6" s="7">
        <f>IFERROR(VLOOKUP(K6,enum!J$4:X$30,7,FALSE),"")</f>
        <v>0</v>
      </c>
      <c r="M6" s="7">
        <v>7</v>
      </c>
      <c r="N6" s="7">
        <v>1</v>
      </c>
      <c r="O6" s="7">
        <v>1</v>
      </c>
      <c r="P6" s="7">
        <v>1</v>
      </c>
      <c r="Q6" s="6" t="s">
        <v>79</v>
      </c>
      <c r="R6" s="7">
        <f>IFERROR(VLOOKUP(Q6,enum!L$4:Q$30,5,FALSE),"")</f>
        <v>0</v>
      </c>
      <c r="S6" s="8">
        <v>0</v>
      </c>
      <c r="T6"/>
    </row>
    <row r="7" spans="2:20" x14ac:dyDescent="0.15">
      <c r="B7" s="15">
        <v>250</v>
      </c>
      <c r="C7" s="6" t="s">
        <v>13</v>
      </c>
      <c r="D7" s="7">
        <f>IFERROR(VLOOKUP(C7,enum!B$4:P$30,15,FALSE),"")</f>
        <v>0</v>
      </c>
      <c r="E7" s="6" t="s">
        <v>24</v>
      </c>
      <c r="F7" s="7">
        <f>IFERROR(VLOOKUP(E7,enum!D$4:R$30,13,FALSE),"")</f>
        <v>2</v>
      </c>
      <c r="G7" s="6" t="s">
        <v>35</v>
      </c>
      <c r="H7" s="7">
        <f>IFERROR(VLOOKUP(G7,enum!F$4:T$30,11,FALSE),"")</f>
        <v>4</v>
      </c>
      <c r="I7" s="6" t="s">
        <v>41</v>
      </c>
      <c r="J7" s="7">
        <f>IFERROR(VLOOKUP(I7,enum!H$4:V$30,9,FALSE),"")</f>
        <v>0</v>
      </c>
      <c r="K7" s="6" t="s">
        <v>50</v>
      </c>
      <c r="L7" s="7">
        <f>IFERROR(VLOOKUP(K7,enum!J$4:X$30,7,FALSE),"")</f>
        <v>0</v>
      </c>
      <c r="M7" s="7">
        <v>7</v>
      </c>
      <c r="N7" s="7">
        <v>1</v>
      </c>
      <c r="O7" s="7">
        <v>1</v>
      </c>
      <c r="P7" s="7">
        <v>1</v>
      </c>
      <c r="Q7" s="6" t="s">
        <v>79</v>
      </c>
      <c r="R7" s="7">
        <f>IFERROR(VLOOKUP(Q7,enum!L$4:Q$30,5,FALSE),"")</f>
        <v>0</v>
      </c>
      <c r="S7" s="8">
        <v>0</v>
      </c>
      <c r="T7"/>
    </row>
    <row r="8" spans="2:20" x14ac:dyDescent="0.15">
      <c r="B8" s="15">
        <v>300</v>
      </c>
      <c r="C8" s="5" t="s">
        <v>13</v>
      </c>
      <c r="D8" s="4">
        <f>IFERROR(VLOOKUP(C8,enum!B$4:P$30,15,FALSE),"")</f>
        <v>0</v>
      </c>
      <c r="E8" s="5" t="s">
        <v>24</v>
      </c>
      <c r="F8" s="4">
        <f>IFERROR(VLOOKUP(E8,enum!D$4:R$30,13,FALSE),"")</f>
        <v>2</v>
      </c>
      <c r="G8" s="5" t="s">
        <v>89</v>
      </c>
      <c r="H8" s="4">
        <f>IFERROR(VLOOKUP(G8,enum!F$4:T$30,11,FALSE),"")</f>
        <v>2</v>
      </c>
      <c r="I8" s="5" t="s">
        <v>41</v>
      </c>
      <c r="J8" s="4">
        <f>IFERROR(VLOOKUP(I8,enum!H$4:V$30,9,FALSE),"")</f>
        <v>0</v>
      </c>
      <c r="K8" s="5" t="s">
        <v>50</v>
      </c>
      <c r="L8" s="4">
        <f>IFERROR(VLOOKUP(K8,enum!J$4:X$30,7,FALSE),"")</f>
        <v>0</v>
      </c>
      <c r="M8" s="7">
        <v>7</v>
      </c>
      <c r="N8" s="7">
        <v>1</v>
      </c>
      <c r="O8" s="7">
        <v>1</v>
      </c>
      <c r="P8" s="7">
        <v>1</v>
      </c>
      <c r="Q8" s="5" t="s">
        <v>79</v>
      </c>
      <c r="R8" s="4">
        <f>IFERROR(VLOOKUP(Q8,enum!L$4:Q$30,5,FALSE),"")</f>
        <v>0</v>
      </c>
      <c r="S8" s="9">
        <v>0</v>
      </c>
      <c r="T8"/>
    </row>
    <row r="9" spans="2:20" x14ac:dyDescent="0.15">
      <c r="B9" s="15">
        <v>400</v>
      </c>
      <c r="C9" s="5" t="s">
        <v>18</v>
      </c>
      <c r="D9" s="4">
        <f>IFERROR(VLOOKUP(C9,enum!B$4:P$30,15,FALSE),"")</f>
        <v>5</v>
      </c>
      <c r="E9" s="5" t="s">
        <v>26</v>
      </c>
      <c r="F9" s="4">
        <f>IFERROR(VLOOKUP(E9,enum!D$4:R$30,13,FALSE),"")</f>
        <v>4</v>
      </c>
      <c r="G9" s="5" t="s">
        <v>35</v>
      </c>
      <c r="H9" s="4">
        <f>IFERROR(VLOOKUP(G9,enum!F$4:T$30,11,FALSE),"")</f>
        <v>4</v>
      </c>
      <c r="I9" s="5" t="s">
        <v>41</v>
      </c>
      <c r="J9" s="4">
        <f>IFERROR(VLOOKUP(I9,enum!H$4:V$30,9,FALSE),"")</f>
        <v>0</v>
      </c>
      <c r="K9" s="5" t="s">
        <v>55</v>
      </c>
      <c r="L9" s="4">
        <f>IFERROR(VLOOKUP(K9,enum!J$4:X$30,7,FALSE),"")</f>
        <v>5</v>
      </c>
      <c r="M9" s="7">
        <v>7</v>
      </c>
      <c r="N9" s="7">
        <v>1</v>
      </c>
      <c r="O9" s="7">
        <v>1</v>
      </c>
      <c r="P9" s="7">
        <v>1</v>
      </c>
      <c r="Q9" s="5" t="s">
        <v>79</v>
      </c>
      <c r="R9" s="4">
        <f>IFERROR(VLOOKUP(Q9,enum!L$4:Q$30,5,FALSE),"")</f>
        <v>0</v>
      </c>
      <c r="S9" s="9">
        <v>0</v>
      </c>
      <c r="T9"/>
    </row>
    <row r="10" spans="2:20" x14ac:dyDescent="0.15">
      <c r="B10" s="15">
        <v>450</v>
      </c>
      <c r="C10" s="5" t="s">
        <v>18</v>
      </c>
      <c r="D10" s="4">
        <f>IFERROR(VLOOKUP(C10,enum!B$4:P$30,15,FALSE),"")</f>
        <v>5</v>
      </c>
      <c r="E10" s="5" t="s">
        <v>26</v>
      </c>
      <c r="F10" s="4">
        <f>IFERROR(VLOOKUP(E10,enum!D$4:R$30,13,FALSE),"")</f>
        <v>4</v>
      </c>
      <c r="G10" s="5" t="s">
        <v>35</v>
      </c>
      <c r="H10" s="4">
        <f>IFERROR(VLOOKUP(G10,enum!F$4:T$30,11,FALSE),"")</f>
        <v>4</v>
      </c>
      <c r="I10" s="5" t="s">
        <v>41</v>
      </c>
      <c r="J10" s="4">
        <f>IFERROR(VLOOKUP(I10,enum!H$4:V$30,9,FALSE),"")</f>
        <v>0</v>
      </c>
      <c r="K10" s="5" t="s">
        <v>55</v>
      </c>
      <c r="L10" s="4">
        <f>IFERROR(VLOOKUP(K10,enum!J$4:X$30,7,FALSE),"")</f>
        <v>5</v>
      </c>
      <c r="M10" s="7">
        <v>7</v>
      </c>
      <c r="N10" s="7">
        <v>1</v>
      </c>
      <c r="O10" s="7">
        <v>1</v>
      </c>
      <c r="P10" s="7">
        <v>1</v>
      </c>
      <c r="Q10" s="5" t="s">
        <v>79</v>
      </c>
      <c r="R10" s="4">
        <f>IFERROR(VLOOKUP(Q10,enum!L$4:Q$30,5,FALSE),"")</f>
        <v>0</v>
      </c>
      <c r="S10" s="9">
        <v>0</v>
      </c>
      <c r="T10"/>
    </row>
    <row r="11" spans="2:20" x14ac:dyDescent="0.15">
      <c r="B11" s="15">
        <v>500</v>
      </c>
      <c r="C11" s="5" t="s">
        <v>18</v>
      </c>
      <c r="D11" s="4">
        <f>IFERROR(VLOOKUP(C11,enum!B$4:P$30,15,FALSE),"")</f>
        <v>5</v>
      </c>
      <c r="E11" s="5" t="s">
        <v>26</v>
      </c>
      <c r="F11" s="4">
        <f>IFERROR(VLOOKUP(E11,enum!D$4:R$30,13,FALSE),"")</f>
        <v>4</v>
      </c>
      <c r="G11" s="5" t="s">
        <v>35</v>
      </c>
      <c r="H11" s="4">
        <f>IFERROR(VLOOKUP(G11,enum!F$4:T$30,11,FALSE),"")</f>
        <v>4</v>
      </c>
      <c r="I11" s="5" t="s">
        <v>41</v>
      </c>
      <c r="J11" s="4">
        <f>IFERROR(VLOOKUP(I11,enum!H$4:V$30,9,FALSE),"")</f>
        <v>0</v>
      </c>
      <c r="K11" s="5" t="s">
        <v>55</v>
      </c>
      <c r="L11" s="4">
        <f>IFERROR(VLOOKUP(K11,enum!J$4:X$30,7,FALSE),"")</f>
        <v>5</v>
      </c>
      <c r="M11" s="7">
        <v>7</v>
      </c>
      <c r="N11" s="7">
        <v>1</v>
      </c>
      <c r="O11" s="7">
        <v>1</v>
      </c>
      <c r="P11" s="7">
        <v>1</v>
      </c>
      <c r="Q11" s="5" t="s">
        <v>79</v>
      </c>
      <c r="R11" s="4">
        <f>IFERROR(VLOOKUP(Q11,enum!L$4:Q$30,5,FALSE),"")</f>
        <v>0</v>
      </c>
      <c r="S11" s="9">
        <v>0</v>
      </c>
      <c r="T11"/>
    </row>
    <row r="12" spans="2:20" x14ac:dyDescent="0.15">
      <c r="B12" s="15">
        <v>600</v>
      </c>
      <c r="C12" s="5" t="s">
        <v>14</v>
      </c>
      <c r="D12" s="4">
        <f>IFERROR(VLOOKUP(C12,enum!B$4:P$30,15,FALSE),"")</f>
        <v>1</v>
      </c>
      <c r="E12" s="5" t="s">
        <v>25</v>
      </c>
      <c r="F12" s="4">
        <f>IFERROR(VLOOKUP(E12,enum!D$4:R$30,13,FALSE),"")</f>
        <v>3</v>
      </c>
      <c r="G12" s="5" t="s">
        <v>35</v>
      </c>
      <c r="H12" s="4">
        <f>IFERROR(VLOOKUP(G12,enum!F$4:T$30,11,FALSE),"")</f>
        <v>4</v>
      </c>
      <c r="I12" s="5" t="s">
        <v>41</v>
      </c>
      <c r="J12" s="4">
        <f>IFERROR(VLOOKUP(I12,enum!H$4:V$30,9,FALSE),"")</f>
        <v>0</v>
      </c>
      <c r="K12" s="5" t="s">
        <v>57</v>
      </c>
      <c r="L12" s="4">
        <f>IFERROR(VLOOKUP(K12,enum!J$4:X$30,7,FALSE),"")</f>
        <v>7</v>
      </c>
      <c r="M12" s="7">
        <v>7</v>
      </c>
      <c r="N12" s="7">
        <v>1</v>
      </c>
      <c r="O12" s="7">
        <v>1</v>
      </c>
      <c r="P12" s="7">
        <v>1</v>
      </c>
      <c r="Q12" s="5" t="s">
        <v>79</v>
      </c>
      <c r="R12" s="4">
        <f>IFERROR(VLOOKUP(Q12,enum!L$4:Q$30,5,FALSE),"")</f>
        <v>0</v>
      </c>
      <c r="S12" s="9">
        <v>0</v>
      </c>
      <c r="T12"/>
    </row>
    <row r="13" spans="2:20" x14ac:dyDescent="0.15">
      <c r="B13" s="15">
        <v>650</v>
      </c>
      <c r="C13" s="5" t="s">
        <v>14</v>
      </c>
      <c r="D13" s="4">
        <f>IFERROR(VLOOKUP(C13,enum!B$4:P$30,15,FALSE),"")</f>
        <v>1</v>
      </c>
      <c r="E13" s="5" t="s">
        <v>25</v>
      </c>
      <c r="F13" s="4">
        <f>IFERROR(VLOOKUP(E13,enum!D$4:R$30,13,FALSE),"")</f>
        <v>3</v>
      </c>
      <c r="G13" s="5" t="s">
        <v>35</v>
      </c>
      <c r="H13" s="4">
        <f>IFERROR(VLOOKUP(G13,enum!F$4:T$30,11,FALSE),"")</f>
        <v>4</v>
      </c>
      <c r="I13" s="5" t="s">
        <v>41</v>
      </c>
      <c r="J13" s="4">
        <f>IFERROR(VLOOKUP(I13,enum!H$4:V$30,9,FALSE),"")</f>
        <v>0</v>
      </c>
      <c r="K13" s="5" t="s">
        <v>57</v>
      </c>
      <c r="L13" s="4">
        <f>IFERROR(VLOOKUP(K13,enum!J$4:X$30,7,FALSE),"")</f>
        <v>7</v>
      </c>
      <c r="M13" s="7">
        <v>7</v>
      </c>
      <c r="N13" s="7">
        <v>1</v>
      </c>
      <c r="O13" s="7">
        <v>1</v>
      </c>
      <c r="P13" s="7">
        <v>1</v>
      </c>
      <c r="Q13" s="5" t="s">
        <v>79</v>
      </c>
      <c r="R13" s="4">
        <f>IFERROR(VLOOKUP(Q13,enum!L$4:Q$30,5,FALSE),"")</f>
        <v>0</v>
      </c>
      <c r="S13" s="9">
        <v>0</v>
      </c>
      <c r="T13"/>
    </row>
    <row r="14" spans="2:20" x14ac:dyDescent="0.15">
      <c r="B14" s="15">
        <v>700</v>
      </c>
      <c r="C14" s="5" t="s">
        <v>14</v>
      </c>
      <c r="D14" s="4">
        <f>IFERROR(VLOOKUP(C14,enum!B$4:P$30,15,FALSE),"")</f>
        <v>1</v>
      </c>
      <c r="E14" s="5" t="s">
        <v>25</v>
      </c>
      <c r="F14" s="4">
        <f>IFERROR(VLOOKUP(E14,enum!D$4:R$30,13,FALSE),"")</f>
        <v>3</v>
      </c>
      <c r="G14" s="5" t="s">
        <v>35</v>
      </c>
      <c r="H14" s="4">
        <f>IFERROR(VLOOKUP(G14,enum!F$4:T$30,11,FALSE),"")</f>
        <v>4</v>
      </c>
      <c r="I14" s="5" t="s">
        <v>41</v>
      </c>
      <c r="J14" s="4">
        <f>IFERROR(VLOOKUP(I14,enum!H$4:V$30,9,FALSE),"")</f>
        <v>0</v>
      </c>
      <c r="K14" s="5" t="s">
        <v>57</v>
      </c>
      <c r="L14" s="4">
        <f>IFERROR(VLOOKUP(K14,enum!J$4:X$30,7,FALSE),"")</f>
        <v>7</v>
      </c>
      <c r="M14" s="7">
        <v>7</v>
      </c>
      <c r="N14" s="7">
        <v>1</v>
      </c>
      <c r="O14" s="7">
        <v>1</v>
      </c>
      <c r="P14" s="7">
        <v>1</v>
      </c>
      <c r="Q14" s="5" t="s">
        <v>79</v>
      </c>
      <c r="R14" s="4">
        <f>IFERROR(VLOOKUP(Q14,enum!L$4:Q$30,5,FALSE),"")</f>
        <v>0</v>
      </c>
      <c r="S14" s="9">
        <v>0</v>
      </c>
      <c r="T14"/>
    </row>
    <row r="15" spans="2:20" x14ac:dyDescent="0.15">
      <c r="B15" s="15">
        <v>800</v>
      </c>
      <c r="C15" s="5" t="s">
        <v>16</v>
      </c>
      <c r="D15" s="4">
        <f>IFERROR(VLOOKUP(C15,enum!B$4:P$30,15,FALSE),"")</f>
        <v>3</v>
      </c>
      <c r="E15" s="5" t="s">
        <v>29</v>
      </c>
      <c r="F15" s="4">
        <f>IFERROR(VLOOKUP(E15,enum!D$4:R$30,13,FALSE),"")</f>
        <v>7</v>
      </c>
      <c r="G15" s="5" t="s">
        <v>35</v>
      </c>
      <c r="H15" s="4">
        <f>IFERROR(VLOOKUP(G15,enum!F$4:T$30,11,FALSE),"")</f>
        <v>4</v>
      </c>
      <c r="I15" s="5" t="s">
        <v>41</v>
      </c>
      <c r="J15" s="4">
        <f>IFERROR(VLOOKUP(I15,enum!H$4:V$30,9,FALSE),"")</f>
        <v>0</v>
      </c>
      <c r="K15" s="5" t="s">
        <v>53</v>
      </c>
      <c r="L15" s="4">
        <f>IFERROR(VLOOKUP(K15,enum!J$4:X$30,7,FALSE),"")</f>
        <v>3</v>
      </c>
      <c r="M15" s="7">
        <v>7</v>
      </c>
      <c r="N15" s="7">
        <v>1</v>
      </c>
      <c r="O15" s="7">
        <v>1</v>
      </c>
      <c r="P15" s="7">
        <v>1</v>
      </c>
      <c r="Q15" s="5" t="s">
        <v>79</v>
      </c>
      <c r="R15" s="4">
        <f>IFERROR(VLOOKUP(Q15,enum!L$4:Q$30,5,FALSE),"")</f>
        <v>0</v>
      </c>
      <c r="S15" s="9">
        <v>0</v>
      </c>
      <c r="T15"/>
    </row>
    <row r="16" spans="2:20" x14ac:dyDescent="0.15">
      <c r="B16" s="15">
        <v>850</v>
      </c>
      <c r="C16" s="5" t="s">
        <v>16</v>
      </c>
      <c r="D16" s="4">
        <f>IFERROR(VLOOKUP(C16,enum!B$4:P$30,15,FALSE),"")</f>
        <v>3</v>
      </c>
      <c r="E16" s="5" t="s">
        <v>29</v>
      </c>
      <c r="F16" s="4">
        <f>IFERROR(VLOOKUP(E16,enum!D$4:R$30,13,FALSE),"")</f>
        <v>7</v>
      </c>
      <c r="G16" s="5" t="s">
        <v>35</v>
      </c>
      <c r="H16" s="4">
        <f>IFERROR(VLOOKUP(G16,enum!F$4:T$30,11,FALSE),"")</f>
        <v>4</v>
      </c>
      <c r="I16" s="5" t="s">
        <v>41</v>
      </c>
      <c r="J16" s="4">
        <f>IFERROR(VLOOKUP(I16,enum!H$4:V$30,9,FALSE),"")</f>
        <v>0</v>
      </c>
      <c r="K16" s="5" t="s">
        <v>53</v>
      </c>
      <c r="L16" s="4">
        <f>IFERROR(VLOOKUP(K16,enum!J$4:X$30,7,FALSE),"")</f>
        <v>3</v>
      </c>
      <c r="M16" s="7">
        <v>7</v>
      </c>
      <c r="N16" s="7">
        <v>1</v>
      </c>
      <c r="O16" s="7">
        <v>1</v>
      </c>
      <c r="P16" s="7">
        <v>1</v>
      </c>
      <c r="Q16" s="5" t="s">
        <v>79</v>
      </c>
      <c r="R16" s="4">
        <f>IFERROR(VLOOKUP(Q16,enum!L$4:Q$30,5,FALSE),"")</f>
        <v>0</v>
      </c>
      <c r="S16" s="9">
        <v>0</v>
      </c>
      <c r="T16"/>
    </row>
    <row r="17" spans="2:20" x14ac:dyDescent="0.15">
      <c r="B17" s="15">
        <v>900</v>
      </c>
      <c r="C17" s="5" t="s">
        <v>16</v>
      </c>
      <c r="D17" s="4">
        <f>IFERROR(VLOOKUP(C17,enum!B$4:P$30,15,FALSE),"")</f>
        <v>3</v>
      </c>
      <c r="E17" s="5" t="s">
        <v>29</v>
      </c>
      <c r="F17" s="4">
        <f>IFERROR(VLOOKUP(E17,enum!D$4:R$30,13,FALSE),"")</f>
        <v>7</v>
      </c>
      <c r="G17" s="5" t="s">
        <v>35</v>
      </c>
      <c r="H17" s="4">
        <f>IFERROR(VLOOKUP(G17,enum!F$4:T$30,11,FALSE),"")</f>
        <v>4</v>
      </c>
      <c r="I17" s="5" t="s">
        <v>41</v>
      </c>
      <c r="J17" s="4">
        <f>IFERROR(VLOOKUP(I17,enum!H$4:V$30,9,FALSE),"")</f>
        <v>0</v>
      </c>
      <c r="K17" s="5" t="s">
        <v>53</v>
      </c>
      <c r="L17" s="4">
        <f>IFERROR(VLOOKUP(K17,enum!J$4:X$30,7,FALSE),"")</f>
        <v>3</v>
      </c>
      <c r="M17" s="7">
        <v>7</v>
      </c>
      <c r="N17" s="7">
        <v>1</v>
      </c>
      <c r="O17" s="7">
        <v>1</v>
      </c>
      <c r="P17" s="7">
        <v>1</v>
      </c>
      <c r="Q17" s="5" t="s">
        <v>79</v>
      </c>
      <c r="R17" s="4">
        <f>IFERROR(VLOOKUP(Q17,enum!L$4:Q$30,5,FALSE),"")</f>
        <v>0</v>
      </c>
      <c r="S17" s="9">
        <v>0</v>
      </c>
      <c r="T17"/>
    </row>
    <row r="18" spans="2:20" x14ac:dyDescent="0.15">
      <c r="B18" s="15">
        <v>900</v>
      </c>
      <c r="C18" s="5" t="s">
        <v>20</v>
      </c>
      <c r="D18" s="4">
        <f>IFERROR(VLOOKUP(C18,enum!B$4:P$30,15,FALSE),"")</f>
        <v>7</v>
      </c>
      <c r="E18" s="5" t="s">
        <v>26</v>
      </c>
      <c r="F18" s="4">
        <f>IFERROR(VLOOKUP(E18,enum!D$4:R$30,13,FALSE),"")</f>
        <v>4</v>
      </c>
      <c r="G18" s="5" t="s">
        <v>38</v>
      </c>
      <c r="H18" s="4">
        <f>IFERROR(VLOOKUP(G18,enum!F$4:T$30,11,FALSE),"")</f>
        <v>7</v>
      </c>
      <c r="I18" s="5" t="s">
        <v>46</v>
      </c>
      <c r="J18" s="4">
        <f>IFERROR(VLOOKUP(I18,enum!H$4:V$30,9,FALSE),"")</f>
        <v>5</v>
      </c>
      <c r="K18" s="5" t="s">
        <v>54</v>
      </c>
      <c r="L18" s="4">
        <f>IFERROR(VLOOKUP(K18,enum!J$4:X$30,7,FALSE),"")</f>
        <v>4</v>
      </c>
      <c r="M18" s="4">
        <v>5</v>
      </c>
      <c r="N18" s="4">
        <v>30</v>
      </c>
      <c r="O18" s="4">
        <v>6</v>
      </c>
      <c r="P18" s="4">
        <v>15</v>
      </c>
      <c r="Q18" s="5" t="s">
        <v>79</v>
      </c>
      <c r="R18" s="4">
        <f>IFERROR(VLOOKUP(Q18,enum!L$4:Q$30,5,FALSE),"")</f>
        <v>0</v>
      </c>
      <c r="S18" s="9">
        <v>0</v>
      </c>
      <c r="T18"/>
    </row>
    <row r="19" spans="2:20" x14ac:dyDescent="0.15">
      <c r="B19" s="15">
        <v>1100</v>
      </c>
      <c r="C19" s="5" t="s">
        <v>20</v>
      </c>
      <c r="D19" s="4">
        <f>IFERROR(VLOOKUP(C19,enum!B$4:P$30,15,FALSE),"")</f>
        <v>7</v>
      </c>
      <c r="E19" s="5" t="s">
        <v>24</v>
      </c>
      <c r="F19" s="4">
        <f>IFERROR(VLOOKUP(E19,enum!D$4:R$30,13,FALSE),"")</f>
        <v>2</v>
      </c>
      <c r="G19" s="5" t="s">
        <v>38</v>
      </c>
      <c r="H19" s="4">
        <f>IFERROR(VLOOKUP(G19,enum!F$4:T$30,11,FALSE),"")</f>
        <v>7</v>
      </c>
      <c r="I19" s="5" t="s">
        <v>46</v>
      </c>
      <c r="J19" s="4">
        <f>IFERROR(VLOOKUP(I19,enum!H$4:V$30,9,FALSE),"")</f>
        <v>5</v>
      </c>
      <c r="K19" s="5" t="s">
        <v>54</v>
      </c>
      <c r="L19" s="4">
        <f>IFERROR(VLOOKUP(K19,enum!J$4:X$30,7,FALSE),"")</f>
        <v>4</v>
      </c>
      <c r="M19" s="4">
        <v>5</v>
      </c>
      <c r="N19" s="4">
        <v>30</v>
      </c>
      <c r="O19" s="4">
        <v>6</v>
      </c>
      <c r="P19" s="4">
        <v>15</v>
      </c>
      <c r="Q19" s="5" t="s">
        <v>79</v>
      </c>
      <c r="R19" s="4">
        <f>IFERROR(VLOOKUP(Q19,enum!L$4:Q$30,5,FALSE),"")</f>
        <v>0</v>
      </c>
      <c r="S19" s="9">
        <v>0</v>
      </c>
      <c r="T19"/>
    </row>
    <row r="20" spans="2:20" x14ac:dyDescent="0.15">
      <c r="B20" s="15">
        <v>1300</v>
      </c>
      <c r="C20" s="5" t="s">
        <v>20</v>
      </c>
      <c r="D20" s="4">
        <f>IFERROR(VLOOKUP(C20,enum!B$4:P$30,15,FALSE),"")</f>
        <v>7</v>
      </c>
      <c r="E20" s="5" t="s">
        <v>28</v>
      </c>
      <c r="F20" s="4">
        <f>IFERROR(VLOOKUP(E20,enum!D$4:R$30,13,FALSE),"")</f>
        <v>6</v>
      </c>
      <c r="G20" s="5" t="s">
        <v>38</v>
      </c>
      <c r="H20" s="4">
        <f>IFERROR(VLOOKUP(G20,enum!F$4:T$30,11,FALSE),"")</f>
        <v>7</v>
      </c>
      <c r="I20" s="5" t="s">
        <v>46</v>
      </c>
      <c r="J20" s="4">
        <f>IFERROR(VLOOKUP(I20,enum!H$4:V$30,9,FALSE),"")</f>
        <v>5</v>
      </c>
      <c r="K20" s="5" t="s">
        <v>54</v>
      </c>
      <c r="L20" s="4">
        <f>IFERROR(VLOOKUP(K20,enum!J$4:X$30,7,FALSE),"")</f>
        <v>4</v>
      </c>
      <c r="M20" s="4">
        <v>5</v>
      </c>
      <c r="N20" s="4">
        <v>30</v>
      </c>
      <c r="O20" s="4">
        <v>6</v>
      </c>
      <c r="P20" s="4">
        <v>15</v>
      </c>
      <c r="Q20" s="5" t="s">
        <v>79</v>
      </c>
      <c r="R20" s="4">
        <f>IFERROR(VLOOKUP(Q20,enum!L$4:Q$30,5,FALSE),"")</f>
        <v>0</v>
      </c>
      <c r="S20" s="9">
        <v>0</v>
      </c>
      <c r="T20"/>
    </row>
    <row r="21" spans="2:20" x14ac:dyDescent="0.15">
      <c r="B21" s="15">
        <v>1350</v>
      </c>
      <c r="C21" s="5" t="s">
        <v>16</v>
      </c>
      <c r="D21" s="4">
        <f>IFERROR(VLOOKUP(C21,enum!B$4:P$30,15,FALSE),"")</f>
        <v>3</v>
      </c>
      <c r="E21" s="5" t="s">
        <v>23</v>
      </c>
      <c r="F21" s="4">
        <f>IFERROR(VLOOKUP(E21,enum!D$4:R$30,13,FALSE),"")</f>
        <v>1</v>
      </c>
      <c r="G21" s="5" t="s">
        <v>31</v>
      </c>
      <c r="H21" s="4">
        <f>IFERROR(VLOOKUP(G21,enum!F$4:T$30,11,FALSE),"")</f>
        <v>0</v>
      </c>
      <c r="I21" s="5" t="s">
        <v>41</v>
      </c>
      <c r="J21" s="4">
        <f>IFERROR(VLOOKUP(I21,enum!H$4:V$30,9,FALSE),"")</f>
        <v>0</v>
      </c>
      <c r="K21" s="5" t="s">
        <v>53</v>
      </c>
      <c r="L21" s="4">
        <f>IFERROR(VLOOKUP(K21,enum!J$4:X$30,7,FALSE),"")</f>
        <v>3</v>
      </c>
      <c r="M21" s="4">
        <v>7</v>
      </c>
      <c r="N21" s="4">
        <v>20</v>
      </c>
      <c r="O21" s="4">
        <v>4</v>
      </c>
      <c r="P21" s="4">
        <v>3</v>
      </c>
      <c r="Q21" s="5" t="s">
        <v>79</v>
      </c>
      <c r="R21" s="4">
        <f>IFERROR(VLOOKUP(Q21,enum!L$4:Q$30,5,FALSE),"")</f>
        <v>0</v>
      </c>
      <c r="S21" s="9">
        <v>0</v>
      </c>
      <c r="T21"/>
    </row>
    <row r="22" spans="2:20" x14ac:dyDescent="0.15">
      <c r="B22" s="15">
        <v>1400</v>
      </c>
      <c r="C22" s="5" t="s">
        <v>16</v>
      </c>
      <c r="D22" s="4">
        <f>IFERROR(VLOOKUP(C22,enum!B$4:P$30,15,FALSE),"")</f>
        <v>3</v>
      </c>
      <c r="E22" s="5" t="s">
        <v>23</v>
      </c>
      <c r="F22" s="4">
        <f>IFERROR(VLOOKUP(E22,enum!D$4:R$30,13,FALSE),"")</f>
        <v>1</v>
      </c>
      <c r="G22" s="5" t="s">
        <v>31</v>
      </c>
      <c r="H22" s="4">
        <f>IFERROR(VLOOKUP(G22,enum!F$4:T$30,11,FALSE),"")</f>
        <v>0</v>
      </c>
      <c r="I22" s="5" t="s">
        <v>41</v>
      </c>
      <c r="J22" s="4">
        <f>IFERROR(VLOOKUP(I22,enum!H$4:V$30,9,FALSE),"")</f>
        <v>0</v>
      </c>
      <c r="K22" s="5" t="s">
        <v>53</v>
      </c>
      <c r="L22" s="4">
        <f>IFERROR(VLOOKUP(K22,enum!J$4:X$30,7,FALSE),"")</f>
        <v>3</v>
      </c>
      <c r="M22" s="4">
        <v>7</v>
      </c>
      <c r="N22" s="4">
        <v>20</v>
      </c>
      <c r="O22" s="4">
        <v>4</v>
      </c>
      <c r="P22" s="4">
        <v>3</v>
      </c>
      <c r="Q22" s="5" t="s">
        <v>79</v>
      </c>
      <c r="R22" s="4">
        <f>IFERROR(VLOOKUP(Q22,enum!L$4:Q$30,5,FALSE),"")</f>
        <v>0</v>
      </c>
      <c r="S22" s="9">
        <v>0</v>
      </c>
      <c r="T22"/>
    </row>
    <row r="23" spans="2:20" x14ac:dyDescent="0.15">
      <c r="B23" s="15">
        <v>1450</v>
      </c>
      <c r="C23" s="5" t="s">
        <v>16</v>
      </c>
      <c r="D23" s="4">
        <f>IFERROR(VLOOKUP(C23,enum!B$4:P$30,15,FALSE),"")</f>
        <v>3</v>
      </c>
      <c r="E23" s="5" t="s">
        <v>23</v>
      </c>
      <c r="F23" s="4">
        <f>IFERROR(VLOOKUP(E23,enum!D$4:R$30,13,FALSE),"")</f>
        <v>1</v>
      </c>
      <c r="G23" s="5" t="s">
        <v>31</v>
      </c>
      <c r="H23" s="4">
        <f>IFERROR(VLOOKUP(G23,enum!F$4:T$30,11,FALSE),"")</f>
        <v>0</v>
      </c>
      <c r="I23" s="5" t="s">
        <v>41</v>
      </c>
      <c r="J23" s="4">
        <f>IFERROR(VLOOKUP(I23,enum!H$4:V$30,9,FALSE),"")</f>
        <v>0</v>
      </c>
      <c r="K23" s="5" t="s">
        <v>53</v>
      </c>
      <c r="L23" s="4">
        <f>IFERROR(VLOOKUP(K23,enum!J$4:X$30,7,FALSE),"")</f>
        <v>3</v>
      </c>
      <c r="M23" s="4">
        <v>7</v>
      </c>
      <c r="N23" s="4">
        <v>20</v>
      </c>
      <c r="O23" s="4">
        <v>4</v>
      </c>
      <c r="P23" s="4">
        <v>3</v>
      </c>
      <c r="Q23" s="5" t="s">
        <v>79</v>
      </c>
      <c r="R23" s="4">
        <f>IFERROR(VLOOKUP(Q23,enum!L$4:Q$30,5,FALSE),"")</f>
        <v>0</v>
      </c>
      <c r="S23" s="9">
        <v>0</v>
      </c>
      <c r="T23"/>
    </row>
    <row r="24" spans="2:20" x14ac:dyDescent="0.15">
      <c r="B24" s="15">
        <v>1550</v>
      </c>
      <c r="C24" s="5" t="s">
        <v>20</v>
      </c>
      <c r="D24" s="4">
        <f>IFERROR(VLOOKUP(C24,enum!B$4:P$30,15,FALSE),"")</f>
        <v>7</v>
      </c>
      <c r="E24" s="5" t="s">
        <v>26</v>
      </c>
      <c r="F24" s="4">
        <f>IFERROR(VLOOKUP(E24,enum!D$4:R$30,13,FALSE),"")</f>
        <v>4</v>
      </c>
      <c r="G24" s="5" t="s">
        <v>38</v>
      </c>
      <c r="H24" s="4">
        <f>IFERROR(VLOOKUP(G24,enum!F$4:T$30,11,FALSE),"")</f>
        <v>7</v>
      </c>
      <c r="I24" s="5" t="s">
        <v>46</v>
      </c>
      <c r="J24" s="4">
        <f>IFERROR(VLOOKUP(I24,enum!H$4:V$30,9,FALSE),"")</f>
        <v>5</v>
      </c>
      <c r="K24" s="5" t="s">
        <v>55</v>
      </c>
      <c r="L24" s="4">
        <f>IFERROR(VLOOKUP(K24,enum!J$4:X$30,7,FALSE),"")</f>
        <v>5</v>
      </c>
      <c r="M24" s="4">
        <v>5</v>
      </c>
      <c r="N24" s="4">
        <v>30</v>
      </c>
      <c r="O24" s="4">
        <v>6</v>
      </c>
      <c r="P24" s="4">
        <v>21</v>
      </c>
      <c r="Q24" s="5" t="s">
        <v>79</v>
      </c>
      <c r="R24" s="4">
        <f>IFERROR(VLOOKUP(Q24,enum!L$4:Q$30,5,FALSE),"")</f>
        <v>0</v>
      </c>
      <c r="S24" s="9">
        <v>0</v>
      </c>
      <c r="T24"/>
    </row>
    <row r="25" spans="2:20" x14ac:dyDescent="0.15">
      <c r="B25" s="15">
        <v>1650</v>
      </c>
      <c r="C25" s="5" t="s">
        <v>13</v>
      </c>
      <c r="D25" s="4">
        <f>IFERROR(VLOOKUP(C25,enum!B$4:P$30,15,FALSE),"")</f>
        <v>0</v>
      </c>
      <c r="E25" s="5" t="s">
        <v>29</v>
      </c>
      <c r="F25" s="4">
        <f>IFERROR(VLOOKUP(E25,enum!D$4:R$30,13,FALSE),"")</f>
        <v>7</v>
      </c>
      <c r="G25" s="5" t="s">
        <v>32</v>
      </c>
      <c r="H25" s="4">
        <f>IFERROR(VLOOKUP(G25,enum!F$4:T$30,11,FALSE),"")</f>
        <v>1</v>
      </c>
      <c r="I25" s="5" t="s">
        <v>41</v>
      </c>
      <c r="J25" s="4">
        <f>IFERROR(VLOOKUP(I25,enum!H$4:V$30,9,FALSE),"")</f>
        <v>0</v>
      </c>
      <c r="K25" s="5" t="s">
        <v>50</v>
      </c>
      <c r="L25" s="4">
        <f>IFERROR(VLOOKUP(K25,enum!J$4:X$30,7,FALSE),"")</f>
        <v>0</v>
      </c>
      <c r="M25" s="4">
        <v>7</v>
      </c>
      <c r="N25" s="4">
        <v>20</v>
      </c>
      <c r="O25" s="4">
        <v>4</v>
      </c>
      <c r="P25" s="4">
        <v>3</v>
      </c>
      <c r="Q25" s="5" t="s">
        <v>79</v>
      </c>
      <c r="R25" s="4">
        <f>IFERROR(VLOOKUP(Q25,enum!L$4:Q$30,5,FALSE),"")</f>
        <v>0</v>
      </c>
      <c r="S25" s="9">
        <v>0</v>
      </c>
      <c r="T25"/>
    </row>
    <row r="26" spans="2:20" x14ac:dyDescent="0.15">
      <c r="B26" s="15">
        <v>1700</v>
      </c>
      <c r="C26" s="5" t="s">
        <v>13</v>
      </c>
      <c r="D26" s="4">
        <f>IFERROR(VLOOKUP(C26,enum!B$4:P$30,15,FALSE),"")</f>
        <v>0</v>
      </c>
      <c r="E26" s="5" t="s">
        <v>29</v>
      </c>
      <c r="F26" s="4">
        <f>IFERROR(VLOOKUP(E26,enum!D$4:R$30,13,FALSE),"")</f>
        <v>7</v>
      </c>
      <c r="G26" s="5" t="s">
        <v>32</v>
      </c>
      <c r="H26" s="4">
        <f>IFERROR(VLOOKUP(G26,enum!F$4:T$30,11,FALSE),"")</f>
        <v>1</v>
      </c>
      <c r="I26" s="5" t="s">
        <v>41</v>
      </c>
      <c r="J26" s="4">
        <f>IFERROR(VLOOKUP(I26,enum!H$4:V$30,9,FALSE),"")</f>
        <v>0</v>
      </c>
      <c r="K26" s="5" t="s">
        <v>50</v>
      </c>
      <c r="L26" s="4">
        <f>IFERROR(VLOOKUP(K26,enum!J$4:X$30,7,FALSE),"")</f>
        <v>0</v>
      </c>
      <c r="M26" s="4">
        <v>7</v>
      </c>
      <c r="N26" s="4">
        <v>20</v>
      </c>
      <c r="O26" s="4">
        <v>4</v>
      </c>
      <c r="P26" s="4">
        <v>3</v>
      </c>
      <c r="Q26" s="5" t="s">
        <v>79</v>
      </c>
      <c r="R26" s="4">
        <f>IFERROR(VLOOKUP(Q26,enum!L$4:Q$30,5,FALSE),"")</f>
        <v>0</v>
      </c>
      <c r="S26" s="9">
        <v>0</v>
      </c>
      <c r="T26"/>
    </row>
    <row r="27" spans="2:20" x14ac:dyDescent="0.15">
      <c r="B27" s="15">
        <v>1750</v>
      </c>
      <c r="C27" s="5" t="s">
        <v>13</v>
      </c>
      <c r="D27" s="4">
        <f>IFERROR(VLOOKUP(C27,enum!B$4:P$30,15,FALSE),"")</f>
        <v>0</v>
      </c>
      <c r="E27" s="5" t="s">
        <v>29</v>
      </c>
      <c r="F27" s="4">
        <f>IFERROR(VLOOKUP(E27,enum!D$4:R$30,13,FALSE),"")</f>
        <v>7</v>
      </c>
      <c r="G27" s="5" t="s">
        <v>32</v>
      </c>
      <c r="H27" s="4">
        <f>IFERROR(VLOOKUP(G27,enum!F$4:T$30,11,FALSE),"")</f>
        <v>1</v>
      </c>
      <c r="I27" s="5" t="s">
        <v>41</v>
      </c>
      <c r="J27" s="4">
        <f>IFERROR(VLOOKUP(I27,enum!H$4:V$30,9,FALSE),"")</f>
        <v>0</v>
      </c>
      <c r="K27" s="5" t="s">
        <v>50</v>
      </c>
      <c r="L27" s="4">
        <f>IFERROR(VLOOKUP(K27,enum!J$4:X$30,7,FALSE),"")</f>
        <v>0</v>
      </c>
      <c r="M27" s="4">
        <v>7</v>
      </c>
      <c r="N27" s="4">
        <v>20</v>
      </c>
      <c r="O27" s="4">
        <v>4</v>
      </c>
      <c r="P27" s="4">
        <v>3</v>
      </c>
      <c r="Q27" s="5" t="s">
        <v>79</v>
      </c>
      <c r="R27" s="4">
        <f>IFERROR(VLOOKUP(Q27,enum!L$4:Q$30,5,FALSE),"")</f>
        <v>0</v>
      </c>
      <c r="S27" s="9">
        <v>0</v>
      </c>
      <c r="T27"/>
    </row>
    <row r="28" spans="2:20" x14ac:dyDescent="0.15">
      <c r="B28" s="15">
        <v>1900</v>
      </c>
      <c r="C28" s="5" t="s">
        <v>20</v>
      </c>
      <c r="D28" s="4">
        <f>IFERROR(VLOOKUP(C28,enum!B$4:P$30,15,FALSE),"")</f>
        <v>7</v>
      </c>
      <c r="E28" s="5" t="s">
        <v>26</v>
      </c>
      <c r="F28" s="4">
        <f>IFERROR(VLOOKUP(E28,enum!D$4:R$30,13,FALSE),"")</f>
        <v>4</v>
      </c>
      <c r="G28" s="5" t="s">
        <v>38</v>
      </c>
      <c r="H28" s="4">
        <f>IFERROR(VLOOKUP(G28,enum!F$4:T$30,11,FALSE),"")</f>
        <v>7</v>
      </c>
      <c r="I28" s="5" t="s">
        <v>47</v>
      </c>
      <c r="J28" s="4">
        <f>IFERROR(VLOOKUP(I28,enum!H$4:V$30,9,FALSE),"")</f>
        <v>6</v>
      </c>
      <c r="K28" s="5" t="s">
        <v>54</v>
      </c>
      <c r="L28" s="4">
        <f>IFERROR(VLOOKUP(K28,enum!J$4:X$30,7,FALSE),"")</f>
        <v>4</v>
      </c>
      <c r="M28" s="4">
        <v>5</v>
      </c>
      <c r="N28" s="4">
        <v>60</v>
      </c>
      <c r="O28" s="4">
        <v>5</v>
      </c>
      <c r="P28" s="4">
        <v>11</v>
      </c>
      <c r="Q28" s="5" t="s">
        <v>79</v>
      </c>
      <c r="R28" s="4">
        <f>IFERROR(VLOOKUP(Q28,enum!L$4:Q$30,5,FALSE),"")</f>
        <v>0</v>
      </c>
      <c r="S28" s="9">
        <v>0</v>
      </c>
      <c r="T28"/>
    </row>
    <row r="29" spans="2:20" x14ac:dyDescent="0.15">
      <c r="B29" s="15">
        <v>2000</v>
      </c>
      <c r="C29" s="5" t="s">
        <v>20</v>
      </c>
      <c r="D29" s="4">
        <f>IFERROR(VLOOKUP(C29,enum!B$4:P$30,15,FALSE),"")</f>
        <v>7</v>
      </c>
      <c r="E29" s="5" t="s">
        <v>28</v>
      </c>
      <c r="F29" s="4">
        <f>IFERROR(VLOOKUP(E29,enum!D$4:R$30,13,FALSE),"")</f>
        <v>6</v>
      </c>
      <c r="G29" s="5" t="s">
        <v>38</v>
      </c>
      <c r="H29" s="4">
        <f>IFERROR(VLOOKUP(G29,enum!F$4:T$30,11,FALSE),"")</f>
        <v>7</v>
      </c>
      <c r="I29" s="5" t="s">
        <v>47</v>
      </c>
      <c r="J29" s="4">
        <f>IFERROR(VLOOKUP(I29,enum!H$4:V$30,9,FALSE),"")</f>
        <v>6</v>
      </c>
      <c r="K29" s="5" t="s">
        <v>54</v>
      </c>
      <c r="L29" s="4">
        <f>IFERROR(VLOOKUP(K29,enum!J$4:X$30,7,FALSE),"")</f>
        <v>4</v>
      </c>
      <c r="M29" s="4">
        <v>5</v>
      </c>
      <c r="N29" s="4">
        <v>60</v>
      </c>
      <c r="O29" s="4">
        <v>5</v>
      </c>
      <c r="P29" s="4">
        <v>11</v>
      </c>
      <c r="Q29" s="5" t="s">
        <v>79</v>
      </c>
      <c r="R29" s="4">
        <f>IFERROR(VLOOKUP(Q29,enum!L$4:Q$30,5,FALSE),"")</f>
        <v>0</v>
      </c>
      <c r="S29" s="9">
        <v>0</v>
      </c>
      <c r="T29"/>
    </row>
    <row r="30" spans="2:20" x14ac:dyDescent="0.15">
      <c r="B30" s="15">
        <v>2100</v>
      </c>
      <c r="C30" s="5" t="s">
        <v>20</v>
      </c>
      <c r="D30" s="4">
        <f>IFERROR(VLOOKUP(C30,enum!B$4:P$30,15,FALSE),"")</f>
        <v>7</v>
      </c>
      <c r="E30" s="5" t="s">
        <v>24</v>
      </c>
      <c r="F30" s="4">
        <f>IFERROR(VLOOKUP(E30,enum!D$4:R$30,13,FALSE),"")</f>
        <v>2</v>
      </c>
      <c r="G30" s="5" t="s">
        <v>38</v>
      </c>
      <c r="H30" s="4">
        <f>IFERROR(VLOOKUP(G30,enum!F$4:T$30,11,FALSE),"")</f>
        <v>7</v>
      </c>
      <c r="I30" s="5" t="s">
        <v>47</v>
      </c>
      <c r="J30" s="4">
        <f>IFERROR(VLOOKUP(I30,enum!H$4:V$30,9,FALSE),"")</f>
        <v>6</v>
      </c>
      <c r="K30" s="5" t="s">
        <v>54</v>
      </c>
      <c r="L30" s="4">
        <f>IFERROR(VLOOKUP(K30,enum!J$4:X$30,7,FALSE),"")</f>
        <v>4</v>
      </c>
      <c r="M30" s="4">
        <v>5</v>
      </c>
      <c r="N30" s="4">
        <v>60</v>
      </c>
      <c r="O30" s="4">
        <v>5</v>
      </c>
      <c r="P30" s="4">
        <v>11</v>
      </c>
      <c r="Q30" s="5" t="s">
        <v>79</v>
      </c>
      <c r="R30" s="4">
        <f>IFERROR(VLOOKUP(Q30,enum!L$4:Q$30,5,FALSE),"")</f>
        <v>0</v>
      </c>
      <c r="S30" s="9">
        <v>0</v>
      </c>
      <c r="T30"/>
    </row>
    <row r="31" spans="2:20" x14ac:dyDescent="0.15">
      <c r="B31" s="15">
        <v>2250</v>
      </c>
      <c r="C31" s="5" t="s">
        <v>16</v>
      </c>
      <c r="D31" s="4">
        <f>IFERROR(VLOOKUP(C31,enum!B$4:P$30,15,FALSE),"")</f>
        <v>3</v>
      </c>
      <c r="E31" s="5" t="s">
        <v>23</v>
      </c>
      <c r="F31" s="4">
        <f>IFERROR(VLOOKUP(E31,enum!D$4:R$30,13,FALSE),"")</f>
        <v>1</v>
      </c>
      <c r="G31" s="5" t="s">
        <v>31</v>
      </c>
      <c r="H31" s="4">
        <f>IFERROR(VLOOKUP(G31,enum!F$4:T$30,11,FALSE),"")</f>
        <v>0</v>
      </c>
      <c r="I31" s="5" t="s">
        <v>41</v>
      </c>
      <c r="J31" s="4">
        <f>IFERROR(VLOOKUP(I31,enum!H$4:V$30,9,FALSE),"")</f>
        <v>0</v>
      </c>
      <c r="K31" s="5" t="s">
        <v>53</v>
      </c>
      <c r="L31" s="4">
        <f>IFERROR(VLOOKUP(K31,enum!J$4:X$30,7,FALSE),"")</f>
        <v>3</v>
      </c>
      <c r="M31" s="4">
        <v>7</v>
      </c>
      <c r="N31" s="4">
        <v>20</v>
      </c>
      <c r="O31" s="4">
        <v>4</v>
      </c>
      <c r="P31" s="4">
        <v>3</v>
      </c>
      <c r="Q31" s="5" t="s">
        <v>79</v>
      </c>
      <c r="R31" s="4">
        <f>IFERROR(VLOOKUP(Q31,enum!L$4:Q$30,5,FALSE),"")</f>
        <v>0</v>
      </c>
      <c r="S31" s="9">
        <v>0</v>
      </c>
      <c r="T31"/>
    </row>
    <row r="32" spans="2:20" x14ac:dyDescent="0.15">
      <c r="B32" s="15">
        <v>2300</v>
      </c>
      <c r="C32" s="5" t="s">
        <v>16</v>
      </c>
      <c r="D32" s="4">
        <f>IFERROR(VLOOKUP(C32,enum!B$4:P$30,15,FALSE),"")</f>
        <v>3</v>
      </c>
      <c r="E32" s="5" t="s">
        <v>23</v>
      </c>
      <c r="F32" s="4">
        <f>IFERROR(VLOOKUP(E32,enum!D$4:R$30,13,FALSE),"")</f>
        <v>1</v>
      </c>
      <c r="G32" s="5" t="s">
        <v>31</v>
      </c>
      <c r="H32" s="4">
        <f>IFERROR(VLOOKUP(G32,enum!F$4:T$30,11,FALSE),"")</f>
        <v>0</v>
      </c>
      <c r="I32" s="5" t="s">
        <v>41</v>
      </c>
      <c r="J32" s="4">
        <f>IFERROR(VLOOKUP(I32,enum!H$4:V$30,9,FALSE),"")</f>
        <v>0</v>
      </c>
      <c r="K32" s="5" t="s">
        <v>53</v>
      </c>
      <c r="L32" s="4">
        <f>IFERROR(VLOOKUP(K32,enum!J$4:X$30,7,FALSE),"")</f>
        <v>3</v>
      </c>
      <c r="M32" s="4">
        <v>7</v>
      </c>
      <c r="N32" s="4">
        <v>20</v>
      </c>
      <c r="O32" s="4">
        <v>4</v>
      </c>
      <c r="P32" s="4">
        <v>3</v>
      </c>
      <c r="Q32" s="5" t="s">
        <v>79</v>
      </c>
      <c r="R32" s="4">
        <f>IFERROR(VLOOKUP(Q32,enum!L$4:Q$30,5,FALSE),"")</f>
        <v>0</v>
      </c>
      <c r="S32" s="9">
        <v>0</v>
      </c>
      <c r="T32"/>
    </row>
    <row r="33" spans="2:20" x14ac:dyDescent="0.15">
      <c r="B33" s="15">
        <v>2350</v>
      </c>
      <c r="C33" s="5" t="s">
        <v>16</v>
      </c>
      <c r="D33" s="4">
        <f>IFERROR(VLOOKUP(C33,enum!B$4:P$30,15,FALSE),"")</f>
        <v>3</v>
      </c>
      <c r="E33" s="5" t="s">
        <v>23</v>
      </c>
      <c r="F33" s="4">
        <f>IFERROR(VLOOKUP(E33,enum!D$4:R$30,13,FALSE),"")</f>
        <v>1</v>
      </c>
      <c r="G33" s="5" t="s">
        <v>31</v>
      </c>
      <c r="H33" s="4">
        <f>IFERROR(VLOOKUP(G33,enum!F$4:T$30,11,FALSE),"")</f>
        <v>0</v>
      </c>
      <c r="I33" s="5" t="s">
        <v>41</v>
      </c>
      <c r="J33" s="4">
        <f>IFERROR(VLOOKUP(I33,enum!H$4:V$30,9,FALSE),"")</f>
        <v>0</v>
      </c>
      <c r="K33" s="5" t="s">
        <v>53</v>
      </c>
      <c r="L33" s="4">
        <f>IFERROR(VLOOKUP(K33,enum!J$4:X$30,7,FALSE),"")</f>
        <v>3</v>
      </c>
      <c r="M33" s="4">
        <v>7</v>
      </c>
      <c r="N33" s="4">
        <v>20</v>
      </c>
      <c r="O33" s="4">
        <v>4</v>
      </c>
      <c r="P33" s="4">
        <v>3</v>
      </c>
      <c r="Q33" s="5" t="s">
        <v>79</v>
      </c>
      <c r="R33" s="4">
        <f>IFERROR(VLOOKUP(Q33,enum!L$4:Q$30,5,FALSE),"")</f>
        <v>0</v>
      </c>
      <c r="S33" s="9">
        <v>0</v>
      </c>
      <c r="T33"/>
    </row>
    <row r="34" spans="2:20" x14ac:dyDescent="0.15">
      <c r="B34" s="15">
        <v>2350</v>
      </c>
      <c r="C34" s="5" t="s">
        <v>17</v>
      </c>
      <c r="D34" s="4">
        <f>IFERROR(VLOOKUP(C34,enum!B$4:P$30,15,FALSE),"")</f>
        <v>4</v>
      </c>
      <c r="E34" s="5" t="s">
        <v>29</v>
      </c>
      <c r="F34" s="4">
        <f>IFERROR(VLOOKUP(E34,enum!D$4:R$30,13,FALSE),"")</f>
        <v>7</v>
      </c>
      <c r="G34" s="5" t="s">
        <v>33</v>
      </c>
      <c r="H34" s="4">
        <f>IFERROR(VLOOKUP(G34,enum!F$4:T$30,11,FALSE),"")</f>
        <v>2</v>
      </c>
      <c r="I34" s="5" t="s">
        <v>41</v>
      </c>
      <c r="J34" s="4">
        <f>IFERROR(VLOOKUP(I34,enum!H$4:V$30,9,FALSE),"")</f>
        <v>0</v>
      </c>
      <c r="K34" s="5" t="s">
        <v>54</v>
      </c>
      <c r="L34" s="4">
        <f>IFERROR(VLOOKUP(K34,enum!J$4:X$30,7,FALSE),"")</f>
        <v>4</v>
      </c>
      <c r="M34" s="4">
        <v>7</v>
      </c>
      <c r="N34" s="4">
        <v>20</v>
      </c>
      <c r="O34" s="4">
        <v>4</v>
      </c>
      <c r="P34" s="4">
        <v>3</v>
      </c>
      <c r="Q34" s="5" t="s">
        <v>79</v>
      </c>
      <c r="R34" s="4">
        <f>IFERROR(VLOOKUP(Q34,enum!L$4:Q$30,5,FALSE),"")</f>
        <v>0</v>
      </c>
      <c r="S34" s="9">
        <v>0</v>
      </c>
      <c r="T34"/>
    </row>
    <row r="35" spans="2:20" x14ac:dyDescent="0.15">
      <c r="B35" s="15">
        <v>2400</v>
      </c>
      <c r="C35" s="5" t="s">
        <v>17</v>
      </c>
      <c r="D35" s="4">
        <f>IFERROR(VLOOKUP(C35,enum!B$4:P$30,15,FALSE),"")</f>
        <v>4</v>
      </c>
      <c r="E35" s="5" t="s">
        <v>29</v>
      </c>
      <c r="F35" s="4">
        <f>IFERROR(VLOOKUP(E35,enum!D$4:R$30,13,FALSE),"")</f>
        <v>7</v>
      </c>
      <c r="G35" s="5" t="s">
        <v>33</v>
      </c>
      <c r="H35" s="4">
        <f>IFERROR(VLOOKUP(G35,enum!F$4:T$30,11,FALSE),"")</f>
        <v>2</v>
      </c>
      <c r="I35" s="5" t="s">
        <v>41</v>
      </c>
      <c r="J35" s="4">
        <f>IFERROR(VLOOKUP(I35,enum!H$4:V$30,9,FALSE),"")</f>
        <v>0</v>
      </c>
      <c r="K35" s="5" t="s">
        <v>54</v>
      </c>
      <c r="L35" s="4">
        <f>IFERROR(VLOOKUP(K35,enum!J$4:X$30,7,FALSE),"")</f>
        <v>4</v>
      </c>
      <c r="M35" s="4">
        <v>7</v>
      </c>
      <c r="N35" s="4">
        <v>20</v>
      </c>
      <c r="O35" s="4">
        <v>4</v>
      </c>
      <c r="P35" s="4">
        <v>3</v>
      </c>
      <c r="Q35" s="5" t="s">
        <v>79</v>
      </c>
      <c r="R35" s="4">
        <f>IFERROR(VLOOKUP(Q35,enum!L$4:Q$30,5,FALSE),"")</f>
        <v>0</v>
      </c>
      <c r="S35" s="9">
        <v>0</v>
      </c>
      <c r="T35"/>
    </row>
    <row r="36" spans="2:20" x14ac:dyDescent="0.15">
      <c r="B36" s="15">
        <v>2450</v>
      </c>
      <c r="C36" s="5" t="s">
        <v>17</v>
      </c>
      <c r="D36" s="4">
        <f>IFERROR(VLOOKUP(C36,enum!B$4:P$30,15,FALSE),"")</f>
        <v>4</v>
      </c>
      <c r="E36" s="5" t="s">
        <v>29</v>
      </c>
      <c r="F36" s="4">
        <f>IFERROR(VLOOKUP(E36,enum!D$4:R$30,13,FALSE),"")</f>
        <v>7</v>
      </c>
      <c r="G36" s="5" t="s">
        <v>33</v>
      </c>
      <c r="H36" s="4">
        <f>IFERROR(VLOOKUP(G36,enum!F$4:T$30,11,FALSE),"")</f>
        <v>2</v>
      </c>
      <c r="I36" s="5" t="s">
        <v>41</v>
      </c>
      <c r="J36" s="4">
        <f>IFERROR(VLOOKUP(I36,enum!H$4:V$30,9,FALSE),"")</f>
        <v>0</v>
      </c>
      <c r="K36" s="5" t="s">
        <v>54</v>
      </c>
      <c r="L36" s="4">
        <f>IFERROR(VLOOKUP(K36,enum!J$4:X$30,7,FALSE),"")</f>
        <v>4</v>
      </c>
      <c r="M36" s="4">
        <v>7</v>
      </c>
      <c r="N36" s="4">
        <v>20</v>
      </c>
      <c r="O36" s="4">
        <v>4</v>
      </c>
      <c r="P36" s="4">
        <v>3</v>
      </c>
      <c r="Q36" s="5" t="s">
        <v>79</v>
      </c>
      <c r="R36" s="4">
        <f>IFERROR(VLOOKUP(Q36,enum!L$4:Q$30,5,FALSE),"")</f>
        <v>0</v>
      </c>
      <c r="S36" s="9">
        <v>0</v>
      </c>
      <c r="T36"/>
    </row>
    <row r="37" spans="2:20" x14ac:dyDescent="0.15">
      <c r="B37" s="15">
        <v>2650</v>
      </c>
      <c r="C37" s="5" t="s">
        <v>15</v>
      </c>
      <c r="D37" s="4">
        <f>IFERROR(VLOOKUP(C37,enum!B$4:P$30,15,FALSE),"")</f>
        <v>2</v>
      </c>
      <c r="E37" s="5" t="s">
        <v>24</v>
      </c>
      <c r="F37" s="4">
        <f>IFERROR(VLOOKUP(E37,enum!D$4:R$30,13,FALSE),"")</f>
        <v>2</v>
      </c>
      <c r="G37" s="5" t="s">
        <v>33</v>
      </c>
      <c r="H37" s="4">
        <f>IFERROR(VLOOKUP(G37,enum!F$4:T$30,11,FALSE),"")</f>
        <v>2</v>
      </c>
      <c r="I37" s="5" t="s">
        <v>41</v>
      </c>
      <c r="J37" s="4">
        <f>IFERROR(VLOOKUP(I37,enum!H$4:V$30,9,FALSE),"")</f>
        <v>0</v>
      </c>
      <c r="K37" s="5" t="s">
        <v>52</v>
      </c>
      <c r="L37" s="4">
        <f>IFERROR(VLOOKUP(K37,enum!J$4:X$30,7,FALSE),"")</f>
        <v>2</v>
      </c>
      <c r="M37" s="4">
        <v>7</v>
      </c>
      <c r="N37" s="4">
        <v>20</v>
      </c>
      <c r="O37" s="4">
        <v>4</v>
      </c>
      <c r="P37" s="4">
        <v>5</v>
      </c>
      <c r="Q37" s="5" t="s">
        <v>79</v>
      </c>
      <c r="R37" s="4">
        <f>IFERROR(VLOOKUP(Q37,enum!L$4:Q$30,5,FALSE),"")</f>
        <v>0</v>
      </c>
      <c r="S37" s="9">
        <v>0</v>
      </c>
      <c r="T37"/>
    </row>
    <row r="38" spans="2:20" x14ac:dyDescent="0.15">
      <c r="B38" s="15">
        <v>2700</v>
      </c>
      <c r="C38" s="5" t="s">
        <v>15</v>
      </c>
      <c r="D38" s="4">
        <f>IFERROR(VLOOKUP(C38,enum!B$4:P$30,15,FALSE),"")</f>
        <v>2</v>
      </c>
      <c r="E38" s="5" t="s">
        <v>24</v>
      </c>
      <c r="F38" s="4">
        <f>IFERROR(VLOOKUP(E38,enum!D$4:R$30,13,FALSE),"")</f>
        <v>2</v>
      </c>
      <c r="G38" s="5" t="s">
        <v>33</v>
      </c>
      <c r="H38" s="4">
        <f>IFERROR(VLOOKUP(G38,enum!F$4:T$30,11,FALSE),"")</f>
        <v>2</v>
      </c>
      <c r="I38" s="5" t="s">
        <v>41</v>
      </c>
      <c r="J38" s="4">
        <f>IFERROR(VLOOKUP(I38,enum!H$4:V$30,9,FALSE),"")</f>
        <v>0</v>
      </c>
      <c r="K38" s="5" t="s">
        <v>52</v>
      </c>
      <c r="L38" s="4">
        <f>IFERROR(VLOOKUP(K38,enum!J$4:X$30,7,FALSE),"")</f>
        <v>2</v>
      </c>
      <c r="M38" s="4">
        <v>7</v>
      </c>
      <c r="N38" s="4">
        <v>20</v>
      </c>
      <c r="O38" s="4">
        <v>4</v>
      </c>
      <c r="P38" s="4">
        <v>5</v>
      </c>
      <c r="Q38" s="5" t="s">
        <v>79</v>
      </c>
      <c r="R38" s="4">
        <f>IFERROR(VLOOKUP(Q38,enum!L$4:Q$30,5,FALSE),"")</f>
        <v>0</v>
      </c>
      <c r="S38" s="9">
        <v>0</v>
      </c>
      <c r="T38"/>
    </row>
    <row r="39" spans="2:20" x14ac:dyDescent="0.15">
      <c r="B39" s="15">
        <v>2750</v>
      </c>
      <c r="C39" s="5" t="s">
        <v>15</v>
      </c>
      <c r="D39" s="4">
        <f>IFERROR(VLOOKUP(C39,enum!B$4:P$30,15,FALSE),"")</f>
        <v>2</v>
      </c>
      <c r="E39" s="5" t="s">
        <v>24</v>
      </c>
      <c r="F39" s="4">
        <f>IFERROR(VLOOKUP(E39,enum!D$4:R$30,13,FALSE),"")</f>
        <v>2</v>
      </c>
      <c r="G39" s="5" t="s">
        <v>33</v>
      </c>
      <c r="H39" s="4">
        <f>IFERROR(VLOOKUP(G39,enum!F$4:T$30,11,FALSE),"")</f>
        <v>2</v>
      </c>
      <c r="I39" s="5" t="s">
        <v>41</v>
      </c>
      <c r="J39" s="4">
        <f>IFERROR(VLOOKUP(I39,enum!H$4:V$30,9,FALSE),"")</f>
        <v>0</v>
      </c>
      <c r="K39" s="5" t="s">
        <v>52</v>
      </c>
      <c r="L39" s="4">
        <f>IFERROR(VLOOKUP(K39,enum!J$4:X$30,7,FALSE),"")</f>
        <v>2</v>
      </c>
      <c r="M39" s="4">
        <v>7</v>
      </c>
      <c r="N39" s="4">
        <v>20</v>
      </c>
      <c r="O39" s="4">
        <v>4</v>
      </c>
      <c r="P39" s="4">
        <v>5</v>
      </c>
      <c r="Q39" s="5" t="s">
        <v>79</v>
      </c>
      <c r="R39" s="4">
        <f>IFERROR(VLOOKUP(Q39,enum!L$4:Q$30,5,FALSE),"")</f>
        <v>0</v>
      </c>
      <c r="S39" s="9">
        <v>0</v>
      </c>
      <c r="T39"/>
    </row>
    <row r="40" spans="2:20" x14ac:dyDescent="0.15">
      <c r="B40" s="15">
        <v>2900</v>
      </c>
      <c r="C40" s="5" t="s">
        <v>21</v>
      </c>
      <c r="D40" s="4">
        <f>IFERROR(VLOOKUP(C40,enum!B$4:P$30,15,FALSE),"")</f>
        <v>8</v>
      </c>
      <c r="E40" s="5" t="s">
        <v>29</v>
      </c>
      <c r="F40" s="4">
        <f>IFERROR(VLOOKUP(E40,enum!D$4:R$30,13,FALSE),"")</f>
        <v>7</v>
      </c>
      <c r="G40" s="5" t="s">
        <v>39</v>
      </c>
      <c r="H40" s="4">
        <f>IFERROR(VLOOKUP(G40,enum!F$4:T$30,11,FALSE),"")</f>
        <v>8</v>
      </c>
      <c r="I40" s="5" t="s">
        <v>42</v>
      </c>
      <c r="J40" s="4">
        <f>IFERROR(VLOOKUP(I40,enum!H$4:V$30,9,FALSE),"")</f>
        <v>1</v>
      </c>
      <c r="K40" s="5" t="s">
        <v>75</v>
      </c>
      <c r="L40" s="4">
        <f>IFERROR(VLOOKUP(K40,enum!J$4:X$30,7,FALSE),"")</f>
        <v>25</v>
      </c>
      <c r="M40" s="4">
        <v>5</v>
      </c>
      <c r="N40" s="4">
        <v>60</v>
      </c>
      <c r="O40" s="4">
        <v>0</v>
      </c>
      <c r="P40" s="4">
        <v>20</v>
      </c>
      <c r="Q40" s="5" t="s">
        <v>79</v>
      </c>
      <c r="R40" s="4">
        <f>IFERROR(VLOOKUP(Q40,enum!L$4:Q$30,5,FALSE),"")</f>
        <v>0</v>
      </c>
      <c r="S40" s="9">
        <v>0</v>
      </c>
      <c r="T40"/>
    </row>
    <row r="41" spans="2:20" x14ac:dyDescent="0.15">
      <c r="B41" s="15">
        <v>2950</v>
      </c>
      <c r="C41" s="5" t="s">
        <v>13</v>
      </c>
      <c r="D41" s="4">
        <f>IFERROR(VLOOKUP(C41,enum!B$4:P$30,15,FALSE),"")</f>
        <v>0</v>
      </c>
      <c r="E41" s="5" t="s">
        <v>24</v>
      </c>
      <c r="F41" s="4">
        <f>IFERROR(VLOOKUP(E41,enum!D$4:R$30,13,FALSE),"")</f>
        <v>2</v>
      </c>
      <c r="G41" s="5" t="s">
        <v>35</v>
      </c>
      <c r="H41" s="4">
        <f>IFERROR(VLOOKUP(G41,enum!F$4:T$30,11,FALSE),"")</f>
        <v>4</v>
      </c>
      <c r="I41" s="5" t="s">
        <v>41</v>
      </c>
      <c r="J41" s="4">
        <f>IFERROR(VLOOKUP(I41,enum!H$4:V$30,9,FALSE),"")</f>
        <v>0</v>
      </c>
      <c r="K41" s="5" t="s">
        <v>50</v>
      </c>
      <c r="L41" s="4">
        <f>IFERROR(VLOOKUP(K41,enum!J$4:X$30,7,FALSE),"")</f>
        <v>0</v>
      </c>
      <c r="M41" s="4">
        <v>7</v>
      </c>
      <c r="N41" s="4">
        <v>1</v>
      </c>
      <c r="O41" s="4">
        <v>1</v>
      </c>
      <c r="P41" s="4">
        <v>1</v>
      </c>
      <c r="Q41" s="5" t="s">
        <v>79</v>
      </c>
      <c r="R41" s="4">
        <f>IFERROR(VLOOKUP(Q41,enum!L$4:Q$30,5,FALSE),"")</f>
        <v>0</v>
      </c>
      <c r="S41" s="9">
        <v>0</v>
      </c>
      <c r="T41"/>
    </row>
    <row r="42" spans="2:20" x14ac:dyDescent="0.15">
      <c r="B42" s="15">
        <v>3000</v>
      </c>
      <c r="C42" s="5" t="s">
        <v>21</v>
      </c>
      <c r="D42" s="4">
        <f>IFERROR(VLOOKUP(C42,enum!B$4:P$30,15,FALSE),"")</f>
        <v>8</v>
      </c>
      <c r="E42" s="5" t="s">
        <v>23</v>
      </c>
      <c r="F42" s="4">
        <f>IFERROR(VLOOKUP(E42,enum!D$4:R$30,13,FALSE),"")</f>
        <v>1</v>
      </c>
      <c r="G42" s="5" t="s">
        <v>39</v>
      </c>
      <c r="H42" s="4">
        <f>IFERROR(VLOOKUP(G42,enum!F$4:T$30,11,FALSE),"")</f>
        <v>8</v>
      </c>
      <c r="I42" s="5" t="s">
        <v>42</v>
      </c>
      <c r="J42" s="4">
        <f>IFERROR(VLOOKUP(I42,enum!H$4:V$30,9,FALSE),"")</f>
        <v>1</v>
      </c>
      <c r="K42" s="5" t="s">
        <v>75</v>
      </c>
      <c r="L42" s="4">
        <f>IFERROR(VLOOKUP(K42,enum!J$4:X$30,7,FALSE),"")</f>
        <v>25</v>
      </c>
      <c r="M42" s="4">
        <v>5</v>
      </c>
      <c r="N42" s="4">
        <v>60</v>
      </c>
      <c r="O42" s="4">
        <v>0</v>
      </c>
      <c r="P42" s="4">
        <v>20</v>
      </c>
      <c r="Q42" s="5" t="s">
        <v>79</v>
      </c>
      <c r="R42" s="4">
        <f>IFERROR(VLOOKUP(Q42,enum!L$4:Q$30,5,FALSE),"")</f>
        <v>0</v>
      </c>
      <c r="S42" s="9">
        <v>0</v>
      </c>
      <c r="T42"/>
    </row>
    <row r="43" spans="2:20" x14ac:dyDescent="0.15">
      <c r="B43" s="15">
        <v>3000</v>
      </c>
      <c r="C43" s="5" t="s">
        <v>13</v>
      </c>
      <c r="D43" s="4">
        <f>IFERROR(VLOOKUP(C43,enum!B$4:P$30,15,FALSE),"")</f>
        <v>0</v>
      </c>
      <c r="E43" s="5" t="s">
        <v>24</v>
      </c>
      <c r="F43" s="4">
        <f>IFERROR(VLOOKUP(E43,enum!D$4:R$30,13,FALSE),"")</f>
        <v>2</v>
      </c>
      <c r="G43" s="5" t="s">
        <v>35</v>
      </c>
      <c r="H43" s="4">
        <f>IFERROR(VLOOKUP(G43,enum!F$4:T$30,11,FALSE),"")</f>
        <v>4</v>
      </c>
      <c r="I43" s="5" t="s">
        <v>41</v>
      </c>
      <c r="J43" s="4">
        <f>IFERROR(VLOOKUP(I43,enum!H$4:V$30,9,FALSE),"")</f>
        <v>0</v>
      </c>
      <c r="K43" s="5" t="s">
        <v>50</v>
      </c>
      <c r="L43" s="4">
        <f>IFERROR(VLOOKUP(K43,enum!J$4:X$30,7,FALSE),"")</f>
        <v>0</v>
      </c>
      <c r="M43" s="4">
        <v>7</v>
      </c>
      <c r="N43" s="4">
        <v>1</v>
      </c>
      <c r="O43" s="4">
        <v>1</v>
      </c>
      <c r="P43" s="4">
        <v>1</v>
      </c>
      <c r="Q43" s="5" t="s">
        <v>79</v>
      </c>
      <c r="R43" s="4">
        <f>IFERROR(VLOOKUP(Q43,enum!L$4:Q$30,5,FALSE),"")</f>
        <v>0</v>
      </c>
      <c r="S43" s="9">
        <v>0</v>
      </c>
      <c r="T43"/>
    </row>
    <row r="44" spans="2:20" x14ac:dyDescent="0.15">
      <c r="B44" s="15">
        <v>3050</v>
      </c>
      <c r="C44" s="5" t="s">
        <v>13</v>
      </c>
      <c r="D44" s="4">
        <f>IFERROR(VLOOKUP(C44,enum!B$4:P$30,15,FALSE),"")</f>
        <v>0</v>
      </c>
      <c r="E44" s="5" t="s">
        <v>24</v>
      </c>
      <c r="F44" s="4">
        <f>IFERROR(VLOOKUP(E44,enum!D$4:R$30,13,FALSE),"")</f>
        <v>2</v>
      </c>
      <c r="G44" s="5" t="s">
        <v>35</v>
      </c>
      <c r="H44" s="4">
        <f>IFERROR(VLOOKUP(G44,enum!F$4:T$30,11,FALSE),"")</f>
        <v>4</v>
      </c>
      <c r="I44" s="5" t="s">
        <v>41</v>
      </c>
      <c r="J44" s="4">
        <f>IFERROR(VLOOKUP(I44,enum!H$4:V$30,9,FALSE),"")</f>
        <v>0</v>
      </c>
      <c r="K44" s="5" t="s">
        <v>50</v>
      </c>
      <c r="L44" s="4">
        <f>IFERROR(VLOOKUP(K44,enum!J$4:X$30,7,FALSE),"")</f>
        <v>0</v>
      </c>
      <c r="M44" s="4">
        <v>7</v>
      </c>
      <c r="N44" s="4">
        <v>1</v>
      </c>
      <c r="O44" s="4">
        <v>1</v>
      </c>
      <c r="P44" s="4">
        <v>1</v>
      </c>
      <c r="Q44" s="5" t="s">
        <v>79</v>
      </c>
      <c r="R44" s="4">
        <f>IFERROR(VLOOKUP(Q44,enum!L$4:Q$30,5,FALSE),"")</f>
        <v>0</v>
      </c>
      <c r="S44" s="9">
        <v>0</v>
      </c>
      <c r="T44"/>
    </row>
    <row r="45" spans="2:20" x14ac:dyDescent="0.15">
      <c r="B45" s="15">
        <v>3100</v>
      </c>
      <c r="C45" s="5" t="s">
        <v>21</v>
      </c>
      <c r="D45" s="4">
        <f>IFERROR(VLOOKUP(C45,enum!B$4:P$30,15,FALSE),"")</f>
        <v>8</v>
      </c>
      <c r="E45" s="5" t="s">
        <v>26</v>
      </c>
      <c r="F45" s="4">
        <f>IFERROR(VLOOKUP(E45,enum!D$4:R$30,13,FALSE),"")</f>
        <v>4</v>
      </c>
      <c r="G45" s="5" t="s">
        <v>39</v>
      </c>
      <c r="H45" s="4">
        <f>IFERROR(VLOOKUP(G45,enum!F$4:T$30,11,FALSE),"")</f>
        <v>8</v>
      </c>
      <c r="I45" s="5" t="s">
        <v>42</v>
      </c>
      <c r="J45" s="4">
        <f>IFERROR(VLOOKUP(I45,enum!H$4:V$30,9,FALSE),"")</f>
        <v>1</v>
      </c>
      <c r="K45" s="5" t="s">
        <v>75</v>
      </c>
      <c r="L45" s="4">
        <f>IFERROR(VLOOKUP(K45,enum!J$4:X$30,7,FALSE),"")</f>
        <v>25</v>
      </c>
      <c r="M45" s="4">
        <v>5</v>
      </c>
      <c r="N45" s="4">
        <v>60</v>
      </c>
      <c r="O45" s="4">
        <v>0</v>
      </c>
      <c r="P45" s="4">
        <v>20</v>
      </c>
      <c r="Q45" s="5" t="s">
        <v>79</v>
      </c>
      <c r="R45" s="4">
        <f>IFERROR(VLOOKUP(Q45,enum!L$4:Q$30,5,FALSE),"")</f>
        <v>0</v>
      </c>
      <c r="S45" s="9">
        <v>0</v>
      </c>
      <c r="T45"/>
    </row>
    <row r="46" spans="2:20" x14ac:dyDescent="0.15">
      <c r="B46" s="15">
        <v>3150</v>
      </c>
      <c r="C46" s="5" t="s">
        <v>18</v>
      </c>
      <c r="D46" s="4">
        <f>IFERROR(VLOOKUP(C46,enum!B$4:P$30,15,FALSE),"")</f>
        <v>5</v>
      </c>
      <c r="E46" s="5" t="s">
        <v>26</v>
      </c>
      <c r="F46" s="4">
        <f>IFERROR(VLOOKUP(E46,enum!D$4:R$30,13,FALSE),"")</f>
        <v>4</v>
      </c>
      <c r="G46" s="5" t="s">
        <v>35</v>
      </c>
      <c r="H46" s="4">
        <f>IFERROR(VLOOKUP(G46,enum!F$4:T$30,11,FALSE),"")</f>
        <v>4</v>
      </c>
      <c r="I46" s="5" t="s">
        <v>41</v>
      </c>
      <c r="J46" s="4">
        <f>IFERROR(VLOOKUP(I46,enum!H$4:V$30,9,FALSE),"")</f>
        <v>0</v>
      </c>
      <c r="K46" s="5" t="s">
        <v>55</v>
      </c>
      <c r="L46" s="4">
        <f>IFERROR(VLOOKUP(K46,enum!J$4:X$30,7,FALSE),"")</f>
        <v>5</v>
      </c>
      <c r="M46" s="4">
        <v>7</v>
      </c>
      <c r="N46" s="4">
        <v>1</v>
      </c>
      <c r="O46" s="4">
        <v>1</v>
      </c>
      <c r="P46" s="4">
        <v>1</v>
      </c>
      <c r="Q46" s="5" t="s">
        <v>79</v>
      </c>
      <c r="R46" s="4">
        <f>IFERROR(VLOOKUP(Q46,enum!L$4:Q$30,5,FALSE),"")</f>
        <v>0</v>
      </c>
      <c r="S46" s="9">
        <v>0</v>
      </c>
      <c r="T46"/>
    </row>
    <row r="47" spans="2:20" x14ac:dyDescent="0.15">
      <c r="B47" s="15">
        <v>3200</v>
      </c>
      <c r="C47" s="5" t="s">
        <v>18</v>
      </c>
      <c r="D47" s="4">
        <f>IFERROR(VLOOKUP(C47,enum!B$4:P$30,15,FALSE),"")</f>
        <v>5</v>
      </c>
      <c r="E47" s="5" t="s">
        <v>26</v>
      </c>
      <c r="F47" s="4">
        <f>IFERROR(VLOOKUP(E47,enum!D$4:R$30,13,FALSE),"")</f>
        <v>4</v>
      </c>
      <c r="G47" s="5" t="s">
        <v>35</v>
      </c>
      <c r="H47" s="4">
        <f>IFERROR(VLOOKUP(G47,enum!F$4:T$30,11,FALSE),"")</f>
        <v>4</v>
      </c>
      <c r="I47" s="5" t="s">
        <v>41</v>
      </c>
      <c r="J47" s="4">
        <f>IFERROR(VLOOKUP(I47,enum!H$4:V$30,9,FALSE),"")</f>
        <v>0</v>
      </c>
      <c r="K47" s="5" t="s">
        <v>55</v>
      </c>
      <c r="L47" s="4">
        <f>IFERROR(VLOOKUP(K47,enum!J$4:X$30,7,FALSE),"")</f>
        <v>5</v>
      </c>
      <c r="M47" s="4">
        <v>7</v>
      </c>
      <c r="N47" s="4">
        <v>1</v>
      </c>
      <c r="O47" s="4">
        <v>1</v>
      </c>
      <c r="P47" s="4">
        <v>1</v>
      </c>
      <c r="Q47" s="5" t="s">
        <v>79</v>
      </c>
      <c r="R47" s="4">
        <f>IFERROR(VLOOKUP(Q47,enum!L$4:Q$30,5,FALSE),"")</f>
        <v>0</v>
      </c>
      <c r="S47" s="9">
        <v>0</v>
      </c>
      <c r="T47"/>
    </row>
    <row r="48" spans="2:20" x14ac:dyDescent="0.15">
      <c r="B48" s="15">
        <v>3250</v>
      </c>
      <c r="C48" s="5" t="s">
        <v>18</v>
      </c>
      <c r="D48" s="4">
        <f>IFERROR(VLOOKUP(C48,enum!B$4:P$30,15,FALSE),"")</f>
        <v>5</v>
      </c>
      <c r="E48" s="5" t="s">
        <v>26</v>
      </c>
      <c r="F48" s="4">
        <f>IFERROR(VLOOKUP(E48,enum!D$4:R$30,13,FALSE),"")</f>
        <v>4</v>
      </c>
      <c r="G48" s="5" t="s">
        <v>35</v>
      </c>
      <c r="H48" s="4">
        <f>IFERROR(VLOOKUP(G48,enum!F$4:T$30,11,FALSE),"")</f>
        <v>4</v>
      </c>
      <c r="I48" s="5" t="s">
        <v>41</v>
      </c>
      <c r="J48" s="4">
        <f>IFERROR(VLOOKUP(I48,enum!H$4:V$30,9,FALSE),"")</f>
        <v>0</v>
      </c>
      <c r="K48" s="5" t="s">
        <v>55</v>
      </c>
      <c r="L48" s="4">
        <f>IFERROR(VLOOKUP(K48,enum!J$4:X$30,7,FALSE),"")</f>
        <v>5</v>
      </c>
      <c r="M48" s="4">
        <v>7</v>
      </c>
      <c r="N48" s="4">
        <v>1</v>
      </c>
      <c r="O48" s="4">
        <v>1</v>
      </c>
      <c r="P48" s="4">
        <v>1</v>
      </c>
      <c r="Q48" s="5" t="s">
        <v>79</v>
      </c>
      <c r="R48" s="4">
        <f>IFERROR(VLOOKUP(Q48,enum!L$4:Q$30,5,FALSE),"")</f>
        <v>0</v>
      </c>
      <c r="S48" s="9">
        <v>0</v>
      </c>
      <c r="T48"/>
    </row>
    <row r="49" spans="2:20" x14ac:dyDescent="0.15">
      <c r="B49" s="15">
        <v>3550</v>
      </c>
      <c r="C49" s="5" t="s">
        <v>20</v>
      </c>
      <c r="D49" s="4">
        <f>IFERROR(VLOOKUP(C49,enum!B$4:P$30,15,FALSE),"")</f>
        <v>7</v>
      </c>
      <c r="E49" s="5" t="s">
        <v>26</v>
      </c>
      <c r="F49" s="4">
        <f>IFERROR(VLOOKUP(E49,enum!D$4:R$30,13,FALSE),"")</f>
        <v>4</v>
      </c>
      <c r="G49" s="5" t="s">
        <v>38</v>
      </c>
      <c r="H49" s="4">
        <f>IFERROR(VLOOKUP(G49,enum!F$4:T$30,11,FALSE),"")</f>
        <v>7</v>
      </c>
      <c r="I49" s="5" t="s">
        <v>46</v>
      </c>
      <c r="J49" s="4">
        <f>IFERROR(VLOOKUP(I49,enum!H$4:V$30,9,FALSE),"")</f>
        <v>5</v>
      </c>
      <c r="K49" s="5" t="s">
        <v>55</v>
      </c>
      <c r="L49" s="4">
        <f>IFERROR(VLOOKUP(K49,enum!J$4:X$30,7,FALSE),"")</f>
        <v>5</v>
      </c>
      <c r="M49" s="4">
        <v>5</v>
      </c>
      <c r="N49" s="4">
        <v>30</v>
      </c>
      <c r="O49" s="4">
        <v>6</v>
      </c>
      <c r="P49" s="4">
        <v>21</v>
      </c>
      <c r="Q49" s="5" t="s">
        <v>79</v>
      </c>
      <c r="R49" s="4">
        <f>IFERROR(VLOOKUP(Q49,enum!L$4:Q$30,5,FALSE),"")</f>
        <v>0</v>
      </c>
      <c r="S49" s="9">
        <v>0</v>
      </c>
      <c r="T49"/>
    </row>
    <row r="50" spans="2:20" x14ac:dyDescent="0.15">
      <c r="B50" s="15">
        <v>3550</v>
      </c>
      <c r="C50" s="5" t="s">
        <v>13</v>
      </c>
      <c r="D50" s="4">
        <f>IFERROR(VLOOKUP(C50,enum!B$4:P$30,15,FALSE),"")</f>
        <v>0</v>
      </c>
      <c r="E50" s="5" t="s">
        <v>29</v>
      </c>
      <c r="F50" s="4">
        <f>IFERROR(VLOOKUP(E50,enum!D$4:R$30,13,FALSE),"")</f>
        <v>7</v>
      </c>
      <c r="G50" s="5" t="s">
        <v>32</v>
      </c>
      <c r="H50" s="4">
        <f>IFERROR(VLOOKUP(G50,enum!F$4:T$30,11,FALSE),"")</f>
        <v>1</v>
      </c>
      <c r="I50" s="5" t="s">
        <v>41</v>
      </c>
      <c r="J50" s="4">
        <f>IFERROR(VLOOKUP(I50,enum!H$4:V$30,9,FALSE),"")</f>
        <v>0</v>
      </c>
      <c r="K50" s="5" t="s">
        <v>50</v>
      </c>
      <c r="L50" s="4">
        <f>IFERROR(VLOOKUP(K50,enum!J$4:X$30,7,FALSE),"")</f>
        <v>0</v>
      </c>
      <c r="M50" s="4">
        <v>7</v>
      </c>
      <c r="N50" s="4">
        <v>20</v>
      </c>
      <c r="O50" s="4">
        <v>4</v>
      </c>
      <c r="P50" s="4">
        <v>5</v>
      </c>
      <c r="Q50" s="5" t="s">
        <v>79</v>
      </c>
      <c r="R50" s="4">
        <f>IFERROR(VLOOKUP(Q50,enum!L$4:Q$30,5,FALSE),"")</f>
        <v>0</v>
      </c>
      <c r="S50" s="9">
        <v>0</v>
      </c>
      <c r="T50"/>
    </row>
    <row r="51" spans="2:20" x14ac:dyDescent="0.15">
      <c r="B51" s="15">
        <v>3600</v>
      </c>
      <c r="C51" s="5" t="s">
        <v>13</v>
      </c>
      <c r="D51" s="4">
        <f>IFERROR(VLOOKUP(C51,enum!B$4:P$30,15,FALSE),"")</f>
        <v>0</v>
      </c>
      <c r="E51" s="5" t="s">
        <v>29</v>
      </c>
      <c r="F51" s="4">
        <f>IFERROR(VLOOKUP(E51,enum!D$4:R$30,13,FALSE),"")</f>
        <v>7</v>
      </c>
      <c r="G51" s="5" t="s">
        <v>32</v>
      </c>
      <c r="H51" s="4">
        <f>IFERROR(VLOOKUP(G51,enum!F$4:T$30,11,FALSE),"")</f>
        <v>1</v>
      </c>
      <c r="I51" s="5" t="s">
        <v>41</v>
      </c>
      <c r="J51" s="4">
        <f>IFERROR(VLOOKUP(I51,enum!H$4:V$30,9,FALSE),"")</f>
        <v>0</v>
      </c>
      <c r="K51" s="5" t="s">
        <v>50</v>
      </c>
      <c r="L51" s="4">
        <f>IFERROR(VLOOKUP(K51,enum!J$4:X$30,7,FALSE),"")</f>
        <v>0</v>
      </c>
      <c r="M51" s="4">
        <v>7</v>
      </c>
      <c r="N51" s="4">
        <v>20</v>
      </c>
      <c r="O51" s="4">
        <v>4</v>
      </c>
      <c r="P51" s="4">
        <v>5</v>
      </c>
      <c r="Q51" s="5" t="s">
        <v>79</v>
      </c>
      <c r="R51" s="4">
        <f>IFERROR(VLOOKUP(Q51,enum!L$4:Q$30,5,FALSE),"")</f>
        <v>0</v>
      </c>
      <c r="S51" s="9">
        <v>0</v>
      </c>
      <c r="T51"/>
    </row>
    <row r="52" spans="2:20" x14ac:dyDescent="0.15">
      <c r="B52" s="15">
        <v>3650</v>
      </c>
      <c r="C52" s="5" t="s">
        <v>13</v>
      </c>
      <c r="D52" s="4">
        <f>IFERROR(VLOOKUP(C52,enum!B$4:P$30,15,FALSE),"")</f>
        <v>0</v>
      </c>
      <c r="E52" s="5" t="s">
        <v>29</v>
      </c>
      <c r="F52" s="4">
        <f>IFERROR(VLOOKUP(E52,enum!D$4:R$30,13,FALSE),"")</f>
        <v>7</v>
      </c>
      <c r="G52" s="5" t="s">
        <v>32</v>
      </c>
      <c r="H52" s="4">
        <f>IFERROR(VLOOKUP(G52,enum!F$4:T$30,11,FALSE),"")</f>
        <v>1</v>
      </c>
      <c r="I52" s="5" t="s">
        <v>41</v>
      </c>
      <c r="J52" s="4">
        <f>IFERROR(VLOOKUP(I52,enum!H$4:V$30,9,FALSE),"")</f>
        <v>0</v>
      </c>
      <c r="K52" s="5" t="s">
        <v>50</v>
      </c>
      <c r="L52" s="4">
        <f>IFERROR(VLOOKUP(K52,enum!J$4:X$30,7,FALSE),"")</f>
        <v>0</v>
      </c>
      <c r="M52" s="4">
        <v>7</v>
      </c>
      <c r="N52" s="4">
        <v>20</v>
      </c>
      <c r="O52" s="4">
        <v>4</v>
      </c>
      <c r="P52" s="4">
        <v>5</v>
      </c>
      <c r="Q52" s="5" t="s">
        <v>79</v>
      </c>
      <c r="R52" s="4">
        <f>IFERROR(VLOOKUP(Q52,enum!L$4:Q$30,5,FALSE),"")</f>
        <v>0</v>
      </c>
      <c r="S52" s="9">
        <v>0</v>
      </c>
      <c r="T52"/>
    </row>
    <row r="53" spans="2:20" x14ac:dyDescent="0.15">
      <c r="B53" s="15">
        <v>3750</v>
      </c>
      <c r="C53" s="5" t="s">
        <v>13</v>
      </c>
      <c r="D53" s="4">
        <f>IFERROR(VLOOKUP(C53,enum!B$4:P$30,15,FALSE),"")</f>
        <v>0</v>
      </c>
      <c r="E53" s="5" t="s">
        <v>29</v>
      </c>
      <c r="F53" s="4">
        <f>IFERROR(VLOOKUP(E53,enum!D$4:R$30,13,FALSE),"")</f>
        <v>7</v>
      </c>
      <c r="G53" s="5" t="s">
        <v>35</v>
      </c>
      <c r="H53" s="4">
        <f>IFERROR(VLOOKUP(G53,enum!F$4:T$30,11,FALSE),"")</f>
        <v>4</v>
      </c>
      <c r="I53" s="5" t="s">
        <v>41</v>
      </c>
      <c r="J53" s="4">
        <f>IFERROR(VLOOKUP(I53,enum!H$4:V$30,9,FALSE),"")</f>
        <v>0</v>
      </c>
      <c r="K53" s="5" t="s">
        <v>50</v>
      </c>
      <c r="L53" s="4">
        <f>IFERROR(VLOOKUP(K53,enum!J$4:X$30,7,FALSE),"")</f>
        <v>0</v>
      </c>
      <c r="M53" s="4">
        <v>7</v>
      </c>
      <c r="N53" s="4">
        <v>1</v>
      </c>
      <c r="O53" s="4">
        <v>1</v>
      </c>
      <c r="P53" s="4">
        <v>1</v>
      </c>
      <c r="Q53" s="5" t="s">
        <v>79</v>
      </c>
      <c r="R53" s="4">
        <f>IFERROR(VLOOKUP(Q53,enum!L$4:Q$30,5,FALSE),"")</f>
        <v>0</v>
      </c>
      <c r="S53" s="9">
        <v>0</v>
      </c>
      <c r="T53"/>
    </row>
    <row r="54" spans="2:20" x14ac:dyDescent="0.15">
      <c r="B54" s="15">
        <v>3800</v>
      </c>
      <c r="C54" s="5" t="s">
        <v>13</v>
      </c>
      <c r="D54" s="4">
        <f>IFERROR(VLOOKUP(C54,enum!B$4:P$30,15,FALSE),"")</f>
        <v>0</v>
      </c>
      <c r="E54" s="5" t="s">
        <v>29</v>
      </c>
      <c r="F54" s="4">
        <f>IFERROR(VLOOKUP(E54,enum!D$4:R$30,13,FALSE),"")</f>
        <v>7</v>
      </c>
      <c r="G54" s="5" t="s">
        <v>35</v>
      </c>
      <c r="H54" s="4">
        <f>IFERROR(VLOOKUP(G54,enum!F$4:T$30,11,FALSE),"")</f>
        <v>4</v>
      </c>
      <c r="I54" s="5" t="s">
        <v>41</v>
      </c>
      <c r="J54" s="4">
        <f>IFERROR(VLOOKUP(I54,enum!H$4:V$30,9,FALSE),"")</f>
        <v>0</v>
      </c>
      <c r="K54" s="5" t="s">
        <v>50</v>
      </c>
      <c r="L54" s="4">
        <f>IFERROR(VLOOKUP(K54,enum!J$4:X$30,7,FALSE),"")</f>
        <v>0</v>
      </c>
      <c r="M54" s="4">
        <v>7</v>
      </c>
      <c r="N54" s="4">
        <v>1</v>
      </c>
      <c r="O54" s="4">
        <v>1</v>
      </c>
      <c r="P54" s="4">
        <v>1</v>
      </c>
      <c r="Q54" s="5" t="s">
        <v>79</v>
      </c>
      <c r="R54" s="4">
        <f>IFERROR(VLOOKUP(Q54,enum!L$4:Q$30,5,FALSE),"")</f>
        <v>0</v>
      </c>
      <c r="S54" s="9">
        <v>0</v>
      </c>
      <c r="T54"/>
    </row>
    <row r="55" spans="2:20" x14ac:dyDescent="0.15">
      <c r="B55" s="15">
        <v>3800</v>
      </c>
      <c r="C55" s="5" t="s">
        <v>20</v>
      </c>
      <c r="D55" s="4">
        <f>IFERROR(VLOOKUP(C55,enum!B$4:P$30,15,FALSE),"")</f>
        <v>7</v>
      </c>
      <c r="E55" s="5" t="s">
        <v>26</v>
      </c>
      <c r="F55" s="4">
        <f>IFERROR(VLOOKUP(E55,enum!D$4:R$30,13,FALSE),"")</f>
        <v>4</v>
      </c>
      <c r="G55" s="5" t="s">
        <v>38</v>
      </c>
      <c r="H55" s="4">
        <f>IFERROR(VLOOKUP(G55,enum!F$4:T$30,11,FALSE),"")</f>
        <v>7</v>
      </c>
      <c r="I55" s="5" t="s">
        <v>46</v>
      </c>
      <c r="J55" s="4">
        <f>IFERROR(VLOOKUP(I55,enum!H$4:V$30,9,FALSE),"")</f>
        <v>5</v>
      </c>
      <c r="K55" s="5" t="s">
        <v>54</v>
      </c>
      <c r="L55" s="4">
        <f>IFERROR(VLOOKUP(K55,enum!J$4:X$30,7,FALSE),"")</f>
        <v>4</v>
      </c>
      <c r="M55" s="4">
        <v>5</v>
      </c>
      <c r="N55" s="4">
        <v>30</v>
      </c>
      <c r="O55" s="4">
        <v>6</v>
      </c>
      <c r="P55" s="4">
        <v>21</v>
      </c>
      <c r="Q55" s="5" t="s">
        <v>79</v>
      </c>
      <c r="R55" s="4">
        <f>IFERROR(VLOOKUP(Q55,enum!L$4:Q$30,5,FALSE),"")</f>
        <v>0</v>
      </c>
      <c r="S55" s="9">
        <v>0</v>
      </c>
      <c r="T55"/>
    </row>
    <row r="56" spans="2:20" x14ac:dyDescent="0.15">
      <c r="B56" s="15">
        <v>3850</v>
      </c>
      <c r="C56" s="5" t="s">
        <v>13</v>
      </c>
      <c r="D56" s="4">
        <f>IFERROR(VLOOKUP(C56,enum!B$4:P$30,15,FALSE),"")</f>
        <v>0</v>
      </c>
      <c r="E56" s="5" t="s">
        <v>29</v>
      </c>
      <c r="F56" s="4">
        <f>IFERROR(VLOOKUP(E56,enum!D$4:R$30,13,FALSE),"")</f>
        <v>7</v>
      </c>
      <c r="G56" s="5" t="s">
        <v>35</v>
      </c>
      <c r="H56" s="4">
        <f>IFERROR(VLOOKUP(G56,enum!F$4:T$30,11,FALSE),"")</f>
        <v>4</v>
      </c>
      <c r="I56" s="5" t="s">
        <v>41</v>
      </c>
      <c r="J56" s="4">
        <f>IFERROR(VLOOKUP(I56,enum!H$4:V$30,9,FALSE),"")</f>
        <v>0</v>
      </c>
      <c r="K56" s="5" t="s">
        <v>50</v>
      </c>
      <c r="L56" s="4">
        <f>IFERROR(VLOOKUP(K56,enum!J$4:X$30,7,FALSE),"")</f>
        <v>0</v>
      </c>
      <c r="M56" s="4">
        <v>7</v>
      </c>
      <c r="N56" s="4">
        <v>1</v>
      </c>
      <c r="O56" s="4">
        <v>1</v>
      </c>
      <c r="P56" s="4">
        <v>1</v>
      </c>
      <c r="Q56" s="5" t="s">
        <v>79</v>
      </c>
      <c r="R56" s="4">
        <f>IFERROR(VLOOKUP(Q56,enum!L$4:Q$30,5,FALSE),"")</f>
        <v>0</v>
      </c>
      <c r="S56" s="9">
        <v>0</v>
      </c>
      <c r="T56"/>
    </row>
    <row r="57" spans="2:20" x14ac:dyDescent="0.15">
      <c r="B57" s="15">
        <v>3900</v>
      </c>
      <c r="C57" s="5" t="s">
        <v>20</v>
      </c>
      <c r="D57" s="4">
        <f>IFERROR(VLOOKUP(C57,enum!B$4:P$30,15,FALSE),"")</f>
        <v>7</v>
      </c>
      <c r="E57" s="5" t="s">
        <v>24</v>
      </c>
      <c r="F57" s="4">
        <f>IFERROR(VLOOKUP(E57,enum!D$4:R$30,13,FALSE),"")</f>
        <v>2</v>
      </c>
      <c r="G57" s="5" t="s">
        <v>38</v>
      </c>
      <c r="H57" s="4">
        <f>IFERROR(VLOOKUP(G57,enum!F$4:T$30,11,FALSE),"")</f>
        <v>7</v>
      </c>
      <c r="I57" s="5" t="s">
        <v>46</v>
      </c>
      <c r="J57" s="4">
        <f>IFERROR(VLOOKUP(I57,enum!H$4:V$30,9,FALSE),"")</f>
        <v>5</v>
      </c>
      <c r="K57" s="5" t="s">
        <v>54</v>
      </c>
      <c r="L57" s="4">
        <f>IFERROR(VLOOKUP(K57,enum!J$4:X$30,7,FALSE),"")</f>
        <v>4</v>
      </c>
      <c r="M57" s="4">
        <v>5</v>
      </c>
      <c r="N57" s="4">
        <v>30</v>
      </c>
      <c r="O57" s="4">
        <v>6</v>
      </c>
      <c r="P57" s="4">
        <v>21</v>
      </c>
      <c r="Q57" s="5" t="s">
        <v>79</v>
      </c>
      <c r="R57" s="4">
        <f>IFERROR(VLOOKUP(Q57,enum!L$4:Q$30,5,FALSE),"")</f>
        <v>0</v>
      </c>
      <c r="S57" s="9">
        <v>0</v>
      </c>
      <c r="T57"/>
    </row>
    <row r="58" spans="2:20" x14ac:dyDescent="0.15">
      <c r="B58" s="15">
        <v>4000</v>
      </c>
      <c r="C58" s="5" t="s">
        <v>20</v>
      </c>
      <c r="D58" s="4">
        <f>IFERROR(VLOOKUP(C58,enum!B$4:P$30,15,FALSE),"")</f>
        <v>7</v>
      </c>
      <c r="E58" s="5" t="s">
        <v>28</v>
      </c>
      <c r="F58" s="4">
        <f>IFERROR(VLOOKUP(E58,enum!D$4:R$30,13,FALSE),"")</f>
        <v>6</v>
      </c>
      <c r="G58" s="5" t="s">
        <v>38</v>
      </c>
      <c r="H58" s="4">
        <f>IFERROR(VLOOKUP(G58,enum!F$4:T$30,11,FALSE),"")</f>
        <v>7</v>
      </c>
      <c r="I58" s="5" t="s">
        <v>46</v>
      </c>
      <c r="J58" s="4">
        <f>IFERROR(VLOOKUP(I58,enum!H$4:V$30,9,FALSE),"")</f>
        <v>5</v>
      </c>
      <c r="K58" s="5" t="s">
        <v>54</v>
      </c>
      <c r="L58" s="4">
        <f>IFERROR(VLOOKUP(K58,enum!J$4:X$30,7,FALSE),"")</f>
        <v>4</v>
      </c>
      <c r="M58" s="4">
        <v>5</v>
      </c>
      <c r="N58" s="4">
        <v>30</v>
      </c>
      <c r="O58" s="4">
        <v>6</v>
      </c>
      <c r="P58" s="4">
        <v>21</v>
      </c>
      <c r="Q58" s="5" t="s">
        <v>79</v>
      </c>
      <c r="R58" s="4">
        <f>IFERROR(VLOOKUP(Q58,enum!L$4:Q$30,5,FALSE),"")</f>
        <v>0</v>
      </c>
      <c r="S58" s="9">
        <v>0</v>
      </c>
      <c r="T58"/>
    </row>
    <row r="59" spans="2:20" x14ac:dyDescent="0.15">
      <c r="B59" s="15">
        <v>4150</v>
      </c>
      <c r="C59" s="5" t="s">
        <v>16</v>
      </c>
      <c r="D59" s="4">
        <f>IFERROR(VLOOKUP(C59,enum!B$4:P$30,15,FALSE),"")</f>
        <v>3</v>
      </c>
      <c r="E59" s="5" t="s">
        <v>23</v>
      </c>
      <c r="F59" s="4">
        <f>IFERROR(VLOOKUP(E59,enum!D$4:R$30,13,FALSE),"")</f>
        <v>1</v>
      </c>
      <c r="G59" s="5" t="s">
        <v>33</v>
      </c>
      <c r="H59" s="4">
        <f>IFERROR(VLOOKUP(G59,enum!F$4:T$30,11,FALSE),"")</f>
        <v>2</v>
      </c>
      <c r="I59" s="5" t="s">
        <v>41</v>
      </c>
      <c r="J59" s="4">
        <f>IFERROR(VLOOKUP(I59,enum!H$4:V$30,9,FALSE),"")</f>
        <v>0</v>
      </c>
      <c r="K59" s="5" t="s">
        <v>53</v>
      </c>
      <c r="L59" s="4">
        <f>IFERROR(VLOOKUP(K59,enum!J$4:X$30,7,FALSE),"")</f>
        <v>3</v>
      </c>
      <c r="M59" s="4">
        <v>7</v>
      </c>
      <c r="N59" s="4">
        <v>20</v>
      </c>
      <c r="O59" s="4">
        <v>4</v>
      </c>
      <c r="P59" s="4">
        <v>5</v>
      </c>
      <c r="Q59" s="5" t="s">
        <v>79</v>
      </c>
      <c r="R59" s="4">
        <f>IFERROR(VLOOKUP(Q59,enum!L$4:Q$30,5,FALSE),"")</f>
        <v>0</v>
      </c>
      <c r="S59" s="9">
        <v>0</v>
      </c>
      <c r="T59"/>
    </row>
    <row r="60" spans="2:20" x14ac:dyDescent="0.15">
      <c r="B60" s="15">
        <v>4200</v>
      </c>
      <c r="C60" s="5" t="s">
        <v>16</v>
      </c>
      <c r="D60" s="4">
        <f>IFERROR(VLOOKUP(C60,enum!B$4:P$30,15,FALSE),"")</f>
        <v>3</v>
      </c>
      <c r="E60" s="5" t="s">
        <v>23</v>
      </c>
      <c r="F60" s="4">
        <f>IFERROR(VLOOKUP(E60,enum!D$4:R$30,13,FALSE),"")</f>
        <v>1</v>
      </c>
      <c r="G60" s="5" t="s">
        <v>33</v>
      </c>
      <c r="H60" s="4">
        <f>IFERROR(VLOOKUP(G60,enum!F$4:T$30,11,FALSE),"")</f>
        <v>2</v>
      </c>
      <c r="I60" s="5" t="s">
        <v>41</v>
      </c>
      <c r="J60" s="4">
        <f>IFERROR(VLOOKUP(I60,enum!H$4:V$30,9,FALSE),"")</f>
        <v>0</v>
      </c>
      <c r="K60" s="5" t="s">
        <v>53</v>
      </c>
      <c r="L60" s="4">
        <f>IFERROR(VLOOKUP(K60,enum!J$4:X$30,7,FALSE),"")</f>
        <v>3</v>
      </c>
      <c r="M60" s="4">
        <v>7</v>
      </c>
      <c r="N60" s="4">
        <v>20</v>
      </c>
      <c r="O60" s="4">
        <v>4</v>
      </c>
      <c r="P60" s="4">
        <v>5</v>
      </c>
      <c r="Q60" s="5" t="s">
        <v>79</v>
      </c>
      <c r="R60" s="4">
        <f>IFERROR(VLOOKUP(Q60,enum!L$4:Q$30,5,FALSE),"")</f>
        <v>0</v>
      </c>
      <c r="S60" s="9">
        <v>0</v>
      </c>
      <c r="T60"/>
    </row>
    <row r="61" spans="2:20" x14ac:dyDescent="0.15">
      <c r="B61" s="15">
        <v>4250</v>
      </c>
      <c r="C61" s="5" t="s">
        <v>16</v>
      </c>
      <c r="D61" s="4">
        <f>IFERROR(VLOOKUP(C61,enum!B$4:P$30,15,FALSE),"")</f>
        <v>3</v>
      </c>
      <c r="E61" s="5" t="s">
        <v>23</v>
      </c>
      <c r="F61" s="4">
        <f>IFERROR(VLOOKUP(E61,enum!D$4:R$30,13,FALSE),"")</f>
        <v>1</v>
      </c>
      <c r="G61" s="5" t="s">
        <v>33</v>
      </c>
      <c r="H61" s="4">
        <f>IFERROR(VLOOKUP(G61,enum!F$4:T$30,11,FALSE),"")</f>
        <v>2</v>
      </c>
      <c r="I61" s="5" t="s">
        <v>41</v>
      </c>
      <c r="J61" s="4">
        <f>IFERROR(VLOOKUP(I61,enum!H$4:V$30,9,FALSE),"")</f>
        <v>0</v>
      </c>
      <c r="K61" s="5" t="s">
        <v>53</v>
      </c>
      <c r="L61" s="4">
        <f>IFERROR(VLOOKUP(K61,enum!J$4:X$30,7,FALSE),"")</f>
        <v>3</v>
      </c>
      <c r="M61" s="4">
        <v>7</v>
      </c>
      <c r="N61" s="4">
        <v>20</v>
      </c>
      <c r="O61" s="4">
        <v>4</v>
      </c>
      <c r="P61" s="4">
        <v>5</v>
      </c>
      <c r="Q61" s="5" t="s">
        <v>79</v>
      </c>
      <c r="R61" s="4">
        <f>IFERROR(VLOOKUP(Q61,enum!L$4:Q$30,5,FALSE),"")</f>
        <v>0</v>
      </c>
      <c r="S61" s="9">
        <v>0</v>
      </c>
      <c r="T61"/>
    </row>
    <row r="62" spans="2:20" x14ac:dyDescent="0.15">
      <c r="B62" s="15">
        <v>4350</v>
      </c>
      <c r="C62" s="5" t="s">
        <v>17</v>
      </c>
      <c r="D62" s="4">
        <f>IFERROR(VLOOKUP(C62,enum!B$4:P$30,15,FALSE),"")</f>
        <v>4</v>
      </c>
      <c r="E62" s="5" t="s">
        <v>29</v>
      </c>
      <c r="F62" s="4">
        <f>IFERROR(VLOOKUP(E62,enum!D$4:R$30,13,FALSE),"")</f>
        <v>7</v>
      </c>
      <c r="G62" s="5" t="s">
        <v>33</v>
      </c>
      <c r="H62" s="4">
        <f>IFERROR(VLOOKUP(G62,enum!F$4:T$30,11,FALSE),"")</f>
        <v>2</v>
      </c>
      <c r="I62" s="5" t="s">
        <v>41</v>
      </c>
      <c r="J62" s="4">
        <f>IFERROR(VLOOKUP(I62,enum!H$4:V$30,9,FALSE),"")</f>
        <v>0</v>
      </c>
      <c r="K62" s="5" t="s">
        <v>54</v>
      </c>
      <c r="L62" s="4">
        <f>IFERROR(VLOOKUP(K62,enum!J$4:X$30,7,FALSE),"")</f>
        <v>4</v>
      </c>
      <c r="M62" s="4">
        <v>7</v>
      </c>
      <c r="N62" s="4">
        <v>20</v>
      </c>
      <c r="O62" s="4">
        <v>4</v>
      </c>
      <c r="P62" s="4">
        <v>5</v>
      </c>
      <c r="Q62" s="5" t="s">
        <v>79</v>
      </c>
      <c r="R62" s="4">
        <f>IFERROR(VLOOKUP(Q62,enum!L$4:Q$30,5,FALSE),"")</f>
        <v>0</v>
      </c>
      <c r="S62" s="9">
        <v>0</v>
      </c>
      <c r="T62"/>
    </row>
    <row r="63" spans="2:20" x14ac:dyDescent="0.15">
      <c r="B63" s="15">
        <v>4400</v>
      </c>
      <c r="C63" s="5" t="s">
        <v>17</v>
      </c>
      <c r="D63" s="4">
        <f>IFERROR(VLOOKUP(C63,enum!B$4:P$30,15,FALSE),"")</f>
        <v>4</v>
      </c>
      <c r="E63" s="5" t="s">
        <v>29</v>
      </c>
      <c r="F63" s="4">
        <f>IFERROR(VLOOKUP(E63,enum!D$4:R$30,13,FALSE),"")</f>
        <v>7</v>
      </c>
      <c r="G63" s="5" t="s">
        <v>33</v>
      </c>
      <c r="H63" s="4">
        <f>IFERROR(VLOOKUP(G63,enum!F$4:T$30,11,FALSE),"")</f>
        <v>2</v>
      </c>
      <c r="I63" s="5" t="s">
        <v>41</v>
      </c>
      <c r="J63" s="4">
        <f>IFERROR(VLOOKUP(I63,enum!H$4:V$30,9,FALSE),"")</f>
        <v>0</v>
      </c>
      <c r="K63" s="5" t="s">
        <v>54</v>
      </c>
      <c r="L63" s="4">
        <f>IFERROR(VLOOKUP(K63,enum!J$4:X$30,7,FALSE),"")</f>
        <v>4</v>
      </c>
      <c r="M63" s="4">
        <v>7</v>
      </c>
      <c r="N63" s="4">
        <v>20</v>
      </c>
      <c r="O63" s="4">
        <v>4</v>
      </c>
      <c r="P63" s="4">
        <v>5</v>
      </c>
      <c r="Q63" s="5" t="s">
        <v>79</v>
      </c>
      <c r="R63" s="4">
        <f>IFERROR(VLOOKUP(Q63,enum!L$4:Q$30,5,FALSE),"")</f>
        <v>0</v>
      </c>
      <c r="S63" s="9">
        <v>0</v>
      </c>
      <c r="T63"/>
    </row>
    <row r="64" spans="2:20" x14ac:dyDescent="0.15">
      <c r="B64" s="15">
        <v>4450</v>
      </c>
      <c r="C64" s="5" t="s">
        <v>17</v>
      </c>
      <c r="D64" s="4">
        <f>IFERROR(VLOOKUP(C64,enum!B$4:P$30,15,FALSE),"")</f>
        <v>4</v>
      </c>
      <c r="E64" s="5" t="s">
        <v>29</v>
      </c>
      <c r="F64" s="4">
        <f>IFERROR(VLOOKUP(E64,enum!D$4:R$30,13,FALSE),"")</f>
        <v>7</v>
      </c>
      <c r="G64" s="5" t="s">
        <v>33</v>
      </c>
      <c r="H64" s="4">
        <f>IFERROR(VLOOKUP(G64,enum!F$4:T$30,11,FALSE),"")</f>
        <v>2</v>
      </c>
      <c r="I64" s="5" t="s">
        <v>41</v>
      </c>
      <c r="J64" s="4">
        <f>IFERROR(VLOOKUP(I64,enum!H$4:V$30,9,FALSE),"")</f>
        <v>0</v>
      </c>
      <c r="K64" s="5" t="s">
        <v>54</v>
      </c>
      <c r="L64" s="4">
        <f>IFERROR(VLOOKUP(K64,enum!J$4:X$30,7,FALSE),"")</f>
        <v>4</v>
      </c>
      <c r="M64" s="4">
        <v>7</v>
      </c>
      <c r="N64" s="4">
        <v>20</v>
      </c>
      <c r="O64" s="4">
        <v>4</v>
      </c>
      <c r="P64" s="4">
        <v>5</v>
      </c>
      <c r="Q64" s="5" t="s">
        <v>79</v>
      </c>
      <c r="R64" s="4">
        <f>IFERROR(VLOOKUP(Q64,enum!L$4:Q$30,5,FALSE),"")</f>
        <v>0</v>
      </c>
      <c r="S64" s="9">
        <v>0</v>
      </c>
      <c r="T64"/>
    </row>
    <row r="65" spans="2:20" x14ac:dyDescent="0.15">
      <c r="B65" s="15">
        <v>4550</v>
      </c>
      <c r="C65" s="5" t="s">
        <v>15</v>
      </c>
      <c r="D65" s="4">
        <f>IFERROR(VLOOKUP(C65,enum!B$4:P$30,15,FALSE),"")</f>
        <v>2</v>
      </c>
      <c r="E65" s="5" t="s">
        <v>24</v>
      </c>
      <c r="F65" s="4">
        <f>IFERROR(VLOOKUP(E65,enum!D$4:R$30,13,FALSE),"")</f>
        <v>2</v>
      </c>
      <c r="G65" s="5" t="s">
        <v>33</v>
      </c>
      <c r="H65" s="4">
        <f>IFERROR(VLOOKUP(G65,enum!F$4:T$30,11,FALSE),"")</f>
        <v>2</v>
      </c>
      <c r="I65" s="5" t="s">
        <v>41</v>
      </c>
      <c r="J65" s="4">
        <f>IFERROR(VLOOKUP(I65,enum!H$4:V$30,9,FALSE),"")</f>
        <v>0</v>
      </c>
      <c r="K65" s="5" t="s">
        <v>52</v>
      </c>
      <c r="L65" s="4">
        <f>IFERROR(VLOOKUP(K65,enum!J$4:X$30,7,FALSE),"")</f>
        <v>2</v>
      </c>
      <c r="M65" s="4">
        <v>7</v>
      </c>
      <c r="N65" s="4">
        <v>20</v>
      </c>
      <c r="O65" s="4">
        <v>4</v>
      </c>
      <c r="P65" s="4">
        <v>5</v>
      </c>
      <c r="Q65" s="5" t="s">
        <v>79</v>
      </c>
      <c r="R65" s="4">
        <f>IFERROR(VLOOKUP(Q65,enum!L$4:Q$30,5,FALSE),"")</f>
        <v>0</v>
      </c>
      <c r="S65" s="9">
        <v>0</v>
      </c>
      <c r="T65"/>
    </row>
    <row r="66" spans="2:20" x14ac:dyDescent="0.15">
      <c r="B66" s="15">
        <v>4600</v>
      </c>
      <c r="C66" s="5" t="s">
        <v>15</v>
      </c>
      <c r="D66" s="4">
        <f>IFERROR(VLOOKUP(C66,enum!B$4:P$30,15,FALSE),"")</f>
        <v>2</v>
      </c>
      <c r="E66" s="5" t="s">
        <v>24</v>
      </c>
      <c r="F66" s="4">
        <f>IFERROR(VLOOKUP(E66,enum!D$4:R$30,13,FALSE),"")</f>
        <v>2</v>
      </c>
      <c r="G66" s="5" t="s">
        <v>33</v>
      </c>
      <c r="H66" s="4">
        <f>IFERROR(VLOOKUP(G66,enum!F$4:T$30,11,FALSE),"")</f>
        <v>2</v>
      </c>
      <c r="I66" s="5" t="s">
        <v>41</v>
      </c>
      <c r="J66" s="4">
        <f>IFERROR(VLOOKUP(I66,enum!H$4:V$30,9,FALSE),"")</f>
        <v>0</v>
      </c>
      <c r="K66" s="5" t="s">
        <v>52</v>
      </c>
      <c r="L66" s="4">
        <f>IFERROR(VLOOKUP(K66,enum!J$4:X$30,7,FALSE),"")</f>
        <v>2</v>
      </c>
      <c r="M66" s="4">
        <v>7</v>
      </c>
      <c r="N66" s="4">
        <v>20</v>
      </c>
      <c r="O66" s="4">
        <v>4</v>
      </c>
      <c r="P66" s="4">
        <v>5</v>
      </c>
      <c r="Q66" s="5" t="s">
        <v>79</v>
      </c>
      <c r="R66" s="4">
        <f>IFERROR(VLOOKUP(Q66,enum!L$4:Q$30,5,FALSE),"")</f>
        <v>0</v>
      </c>
      <c r="S66" s="9">
        <v>0</v>
      </c>
      <c r="T66"/>
    </row>
    <row r="67" spans="2:20" x14ac:dyDescent="0.15">
      <c r="B67" s="15">
        <v>4650</v>
      </c>
      <c r="C67" s="5" t="s">
        <v>15</v>
      </c>
      <c r="D67" s="4">
        <f>IFERROR(VLOOKUP(C67,enum!B$4:P$30,15,FALSE),"")</f>
        <v>2</v>
      </c>
      <c r="E67" s="5" t="s">
        <v>24</v>
      </c>
      <c r="F67" s="4">
        <f>IFERROR(VLOOKUP(E67,enum!D$4:R$30,13,FALSE),"")</f>
        <v>2</v>
      </c>
      <c r="G67" s="5" t="s">
        <v>33</v>
      </c>
      <c r="H67" s="4">
        <f>IFERROR(VLOOKUP(G67,enum!F$4:T$30,11,FALSE),"")</f>
        <v>2</v>
      </c>
      <c r="I67" s="5" t="s">
        <v>41</v>
      </c>
      <c r="J67" s="4">
        <f>IFERROR(VLOOKUP(I67,enum!H$4:V$30,9,FALSE),"")</f>
        <v>0</v>
      </c>
      <c r="K67" s="5" t="s">
        <v>52</v>
      </c>
      <c r="L67" s="4">
        <f>IFERROR(VLOOKUP(K67,enum!J$4:X$30,7,FALSE),"")</f>
        <v>2</v>
      </c>
      <c r="M67" s="4">
        <v>7</v>
      </c>
      <c r="N67" s="4">
        <v>20</v>
      </c>
      <c r="O67" s="4">
        <v>4</v>
      </c>
      <c r="P67" s="4">
        <v>5</v>
      </c>
      <c r="Q67" s="5" t="s">
        <v>79</v>
      </c>
      <c r="R67" s="4">
        <f>IFERROR(VLOOKUP(Q67,enum!L$4:Q$30,5,FALSE),"")</f>
        <v>0</v>
      </c>
      <c r="S67" s="9">
        <v>0</v>
      </c>
      <c r="T67"/>
    </row>
    <row r="68" spans="2:20" x14ac:dyDescent="0.15">
      <c r="B68" s="15">
        <v>0</v>
      </c>
      <c r="C68" s="5" t="s">
        <v>13</v>
      </c>
      <c r="D68" s="4">
        <f>IFERROR(VLOOKUP(C68,enum!B$4:P$30,15,FALSE),"")</f>
        <v>0</v>
      </c>
      <c r="E68" s="5" t="s">
        <v>22</v>
      </c>
      <c r="F68" s="4">
        <f>IFERROR(VLOOKUP(E68,enum!D$4:R$30,13,FALSE),"")</f>
        <v>0</v>
      </c>
      <c r="G68" s="5" t="s">
        <v>31</v>
      </c>
      <c r="H68" s="4">
        <f>IFERROR(VLOOKUP(G68,enum!F$4:T$30,11,FALSE),"")</f>
        <v>0</v>
      </c>
      <c r="I68" s="5" t="s">
        <v>41</v>
      </c>
      <c r="J68" s="4">
        <f>IFERROR(VLOOKUP(I68,enum!H$4:V$30,9,FALSE),"")</f>
        <v>0</v>
      </c>
      <c r="K68" s="5" t="s">
        <v>50</v>
      </c>
      <c r="L68" s="4">
        <f>IFERROR(VLOOKUP(K68,enum!J$4:X$30,7,FALSE),"")</f>
        <v>0</v>
      </c>
      <c r="M68" s="4">
        <v>0</v>
      </c>
      <c r="N68" s="4">
        <v>0</v>
      </c>
      <c r="O68" s="4">
        <v>0</v>
      </c>
      <c r="P68" s="4">
        <v>0</v>
      </c>
      <c r="Q68" s="5" t="s">
        <v>79</v>
      </c>
      <c r="R68" s="4">
        <f>IFERROR(VLOOKUP(Q68,enum!L$4:Q$30,5,FALSE),"")</f>
        <v>0</v>
      </c>
      <c r="S68" s="9">
        <v>0</v>
      </c>
      <c r="T68"/>
    </row>
    <row r="69" spans="2:20" x14ac:dyDescent="0.15">
      <c r="B69" s="15">
        <v>0</v>
      </c>
      <c r="C69" s="5" t="s">
        <v>13</v>
      </c>
      <c r="D69" s="4">
        <f>IFERROR(VLOOKUP(C69,enum!B$4:P$30,15,FALSE),"")</f>
        <v>0</v>
      </c>
      <c r="E69" s="5" t="s">
        <v>22</v>
      </c>
      <c r="F69" s="4">
        <f>IFERROR(VLOOKUP(E69,enum!D$4:R$30,13,FALSE),"")</f>
        <v>0</v>
      </c>
      <c r="G69" s="5" t="s">
        <v>31</v>
      </c>
      <c r="H69" s="4">
        <f>IFERROR(VLOOKUP(G69,enum!F$4:T$30,11,FALSE),"")</f>
        <v>0</v>
      </c>
      <c r="I69" s="5" t="s">
        <v>41</v>
      </c>
      <c r="J69" s="4">
        <f>IFERROR(VLOOKUP(I69,enum!H$4:V$30,9,FALSE),"")</f>
        <v>0</v>
      </c>
      <c r="K69" s="5" t="s">
        <v>50</v>
      </c>
      <c r="L69" s="4">
        <f>IFERROR(VLOOKUP(K69,enum!J$4:X$30,7,FALSE),"")</f>
        <v>0</v>
      </c>
      <c r="M69" s="4">
        <v>0</v>
      </c>
      <c r="N69" s="4">
        <v>0</v>
      </c>
      <c r="O69" s="4">
        <v>0</v>
      </c>
      <c r="P69" s="4">
        <v>0</v>
      </c>
      <c r="Q69" s="5" t="s">
        <v>79</v>
      </c>
      <c r="R69" s="4">
        <f>IFERROR(VLOOKUP(Q69,enum!L$4:Q$30,5,FALSE),"")</f>
        <v>0</v>
      </c>
      <c r="S69" s="9">
        <v>0</v>
      </c>
      <c r="T69"/>
    </row>
    <row r="70" spans="2:20" x14ac:dyDescent="0.15">
      <c r="B70" s="15">
        <v>0</v>
      </c>
      <c r="C70" s="5" t="s">
        <v>13</v>
      </c>
      <c r="D70" s="4">
        <f>IFERROR(VLOOKUP(C70,enum!B$4:P$30,15,FALSE),"")</f>
        <v>0</v>
      </c>
      <c r="E70" s="5" t="s">
        <v>22</v>
      </c>
      <c r="F70" s="4">
        <f>IFERROR(VLOOKUP(E70,enum!D$4:R$30,13,FALSE),"")</f>
        <v>0</v>
      </c>
      <c r="G70" s="5" t="s">
        <v>31</v>
      </c>
      <c r="H70" s="4">
        <f>IFERROR(VLOOKUP(G70,enum!F$4:T$30,11,FALSE),"")</f>
        <v>0</v>
      </c>
      <c r="I70" s="5" t="s">
        <v>41</v>
      </c>
      <c r="J70" s="4">
        <f>IFERROR(VLOOKUP(I70,enum!H$4:V$30,9,FALSE),"")</f>
        <v>0</v>
      </c>
      <c r="K70" s="5" t="s">
        <v>50</v>
      </c>
      <c r="L70" s="4">
        <f>IFERROR(VLOOKUP(K70,enum!J$4:X$30,7,FALSE),"")</f>
        <v>0</v>
      </c>
      <c r="M70" s="4">
        <v>0</v>
      </c>
      <c r="N70" s="4">
        <v>0</v>
      </c>
      <c r="O70" s="4">
        <v>0</v>
      </c>
      <c r="P70" s="4">
        <v>0</v>
      </c>
      <c r="Q70" s="5" t="s">
        <v>79</v>
      </c>
      <c r="R70" s="4">
        <f>IFERROR(VLOOKUP(Q70,enum!L$4:Q$30,5,FALSE),"")</f>
        <v>0</v>
      </c>
      <c r="S70" s="9">
        <v>0</v>
      </c>
      <c r="T70"/>
    </row>
    <row r="71" spans="2:20" x14ac:dyDescent="0.15">
      <c r="B71" s="15">
        <v>0</v>
      </c>
      <c r="C71" s="5" t="s">
        <v>13</v>
      </c>
      <c r="D71" s="4">
        <f>IFERROR(VLOOKUP(C71,enum!B$4:P$30,15,FALSE),"")</f>
        <v>0</v>
      </c>
      <c r="E71" s="5" t="s">
        <v>22</v>
      </c>
      <c r="F71" s="4">
        <f>IFERROR(VLOOKUP(E71,enum!D$4:R$30,13,FALSE),"")</f>
        <v>0</v>
      </c>
      <c r="G71" s="5" t="s">
        <v>31</v>
      </c>
      <c r="H71" s="4">
        <f>IFERROR(VLOOKUP(G71,enum!F$4:T$30,11,FALSE),"")</f>
        <v>0</v>
      </c>
      <c r="I71" s="5" t="s">
        <v>41</v>
      </c>
      <c r="J71" s="4">
        <f>IFERROR(VLOOKUP(I71,enum!H$4:V$30,9,FALSE),"")</f>
        <v>0</v>
      </c>
      <c r="K71" s="5" t="s">
        <v>50</v>
      </c>
      <c r="L71" s="4">
        <f>IFERROR(VLOOKUP(K71,enum!J$4:X$30,7,FALSE),"")</f>
        <v>0</v>
      </c>
      <c r="M71" s="4">
        <v>0</v>
      </c>
      <c r="N71" s="4">
        <v>0</v>
      </c>
      <c r="O71" s="4">
        <v>0</v>
      </c>
      <c r="P71" s="4">
        <v>0</v>
      </c>
      <c r="Q71" s="5" t="s">
        <v>79</v>
      </c>
      <c r="R71" s="4">
        <f>IFERROR(VLOOKUP(Q71,enum!L$4:Q$30,5,FALSE),"")</f>
        <v>0</v>
      </c>
      <c r="S71" s="9">
        <v>0</v>
      </c>
      <c r="T71"/>
    </row>
    <row r="72" spans="2:20" x14ac:dyDescent="0.15">
      <c r="B72" s="15">
        <v>0</v>
      </c>
      <c r="C72" s="5" t="s">
        <v>13</v>
      </c>
      <c r="D72" s="4">
        <f>IFERROR(VLOOKUP(C72,enum!B$4:P$30,15,FALSE),"")</f>
        <v>0</v>
      </c>
      <c r="E72" s="5" t="s">
        <v>22</v>
      </c>
      <c r="F72" s="4">
        <f>IFERROR(VLOOKUP(E72,enum!D$4:R$30,13,FALSE),"")</f>
        <v>0</v>
      </c>
      <c r="G72" s="5" t="s">
        <v>31</v>
      </c>
      <c r="H72" s="4">
        <f>IFERROR(VLOOKUP(G72,enum!F$4:T$30,11,FALSE),"")</f>
        <v>0</v>
      </c>
      <c r="I72" s="5" t="s">
        <v>41</v>
      </c>
      <c r="J72" s="4">
        <f>IFERROR(VLOOKUP(I72,enum!H$4:V$30,9,FALSE),"")</f>
        <v>0</v>
      </c>
      <c r="K72" s="5" t="s">
        <v>50</v>
      </c>
      <c r="L72" s="4">
        <f>IFERROR(VLOOKUP(K72,enum!J$4:X$30,7,FALSE),"")</f>
        <v>0</v>
      </c>
      <c r="M72" s="4">
        <v>0</v>
      </c>
      <c r="N72" s="4">
        <v>0</v>
      </c>
      <c r="O72" s="4">
        <v>0</v>
      </c>
      <c r="P72" s="4">
        <v>0</v>
      </c>
      <c r="Q72" s="5" t="s">
        <v>79</v>
      </c>
      <c r="R72" s="4">
        <f>IFERROR(VLOOKUP(Q72,enum!L$4:Q$30,5,FALSE),"")</f>
        <v>0</v>
      </c>
      <c r="S72" s="9">
        <v>0</v>
      </c>
      <c r="T72"/>
    </row>
    <row r="73" spans="2:20" x14ac:dyDescent="0.15">
      <c r="B73" s="15">
        <v>0</v>
      </c>
      <c r="C73" s="5" t="s">
        <v>13</v>
      </c>
      <c r="D73" s="4">
        <f>IFERROR(VLOOKUP(C73,enum!B$4:P$30,15,FALSE),"")</f>
        <v>0</v>
      </c>
      <c r="E73" s="5" t="s">
        <v>22</v>
      </c>
      <c r="F73" s="4">
        <f>IFERROR(VLOOKUP(E73,enum!D$4:R$30,13,FALSE),"")</f>
        <v>0</v>
      </c>
      <c r="G73" s="5" t="s">
        <v>31</v>
      </c>
      <c r="H73" s="4">
        <f>IFERROR(VLOOKUP(G73,enum!F$4:T$30,11,FALSE),"")</f>
        <v>0</v>
      </c>
      <c r="I73" s="5" t="s">
        <v>41</v>
      </c>
      <c r="J73" s="4">
        <f>IFERROR(VLOOKUP(I73,enum!H$4:V$30,9,FALSE),"")</f>
        <v>0</v>
      </c>
      <c r="K73" s="5" t="s">
        <v>50</v>
      </c>
      <c r="L73" s="4">
        <f>IFERROR(VLOOKUP(K73,enum!J$4:X$30,7,FALSE),"")</f>
        <v>0</v>
      </c>
      <c r="M73" s="4">
        <v>0</v>
      </c>
      <c r="N73" s="4">
        <v>0</v>
      </c>
      <c r="O73" s="4">
        <v>0</v>
      </c>
      <c r="P73" s="4">
        <v>0</v>
      </c>
      <c r="Q73" s="5" t="s">
        <v>79</v>
      </c>
      <c r="R73" s="4">
        <f>IFERROR(VLOOKUP(Q73,enum!L$4:Q$30,5,FALSE),"")</f>
        <v>0</v>
      </c>
      <c r="S73" s="9">
        <v>0</v>
      </c>
      <c r="T73"/>
    </row>
    <row r="74" spans="2:20" x14ac:dyDescent="0.15">
      <c r="B74" s="15">
        <v>0</v>
      </c>
      <c r="C74" s="5" t="s">
        <v>13</v>
      </c>
      <c r="D74" s="4">
        <f>IFERROR(VLOOKUP(C74,enum!B$4:P$30,15,FALSE),"")</f>
        <v>0</v>
      </c>
      <c r="E74" s="5" t="s">
        <v>22</v>
      </c>
      <c r="F74" s="4">
        <f>IFERROR(VLOOKUP(E74,enum!D$4:R$30,13,FALSE),"")</f>
        <v>0</v>
      </c>
      <c r="G74" s="5" t="s">
        <v>31</v>
      </c>
      <c r="H74" s="4">
        <f>IFERROR(VLOOKUP(G74,enum!F$4:T$30,11,FALSE),"")</f>
        <v>0</v>
      </c>
      <c r="I74" s="5" t="s">
        <v>41</v>
      </c>
      <c r="J74" s="4">
        <f>IFERROR(VLOOKUP(I74,enum!H$4:V$30,9,FALSE),"")</f>
        <v>0</v>
      </c>
      <c r="K74" s="5" t="s">
        <v>50</v>
      </c>
      <c r="L74" s="4">
        <f>IFERROR(VLOOKUP(K74,enum!J$4:X$30,7,FALSE),"")</f>
        <v>0</v>
      </c>
      <c r="M74" s="4">
        <v>0</v>
      </c>
      <c r="N74" s="4">
        <v>0</v>
      </c>
      <c r="O74" s="4">
        <v>0</v>
      </c>
      <c r="P74" s="4">
        <v>0</v>
      </c>
      <c r="Q74" s="5" t="s">
        <v>79</v>
      </c>
      <c r="R74" s="4">
        <f>IFERROR(VLOOKUP(Q74,enum!L$4:Q$30,5,FALSE),"")</f>
        <v>0</v>
      </c>
      <c r="S74" s="9">
        <v>0</v>
      </c>
      <c r="T74"/>
    </row>
    <row r="75" spans="2:20" x14ac:dyDescent="0.15">
      <c r="B75" s="15">
        <v>0</v>
      </c>
      <c r="C75" s="5" t="s">
        <v>13</v>
      </c>
      <c r="D75" s="4">
        <f>IFERROR(VLOOKUP(C75,enum!B$4:P$30,15,FALSE),"")</f>
        <v>0</v>
      </c>
      <c r="E75" s="5" t="s">
        <v>22</v>
      </c>
      <c r="F75" s="4">
        <f>IFERROR(VLOOKUP(E75,enum!D$4:R$30,13,FALSE),"")</f>
        <v>0</v>
      </c>
      <c r="G75" s="5" t="s">
        <v>31</v>
      </c>
      <c r="H75" s="4">
        <f>IFERROR(VLOOKUP(G75,enum!F$4:T$30,11,FALSE),"")</f>
        <v>0</v>
      </c>
      <c r="I75" s="5" t="s">
        <v>41</v>
      </c>
      <c r="J75" s="4">
        <f>IFERROR(VLOOKUP(I75,enum!H$4:V$30,9,FALSE),"")</f>
        <v>0</v>
      </c>
      <c r="K75" s="5" t="s">
        <v>50</v>
      </c>
      <c r="L75" s="4">
        <f>IFERROR(VLOOKUP(K75,enum!J$4:X$30,7,FALSE),"")</f>
        <v>0</v>
      </c>
      <c r="M75" s="4">
        <v>0</v>
      </c>
      <c r="N75" s="4">
        <v>0</v>
      </c>
      <c r="O75" s="4">
        <v>0</v>
      </c>
      <c r="P75" s="4">
        <v>0</v>
      </c>
      <c r="Q75" s="5" t="s">
        <v>79</v>
      </c>
      <c r="R75" s="4">
        <f>IFERROR(VLOOKUP(Q75,enum!L$4:Q$30,5,FALSE),"")</f>
        <v>0</v>
      </c>
      <c r="S75" s="9">
        <v>0</v>
      </c>
      <c r="T75"/>
    </row>
    <row r="76" spans="2:20" x14ac:dyDescent="0.15">
      <c r="B76" s="15">
        <v>0</v>
      </c>
      <c r="C76" s="5" t="s">
        <v>13</v>
      </c>
      <c r="D76" s="4">
        <f>IFERROR(VLOOKUP(C76,enum!B$4:P$30,15,FALSE),"")</f>
        <v>0</v>
      </c>
      <c r="E76" s="5" t="s">
        <v>22</v>
      </c>
      <c r="F76" s="4">
        <f>IFERROR(VLOOKUP(E76,enum!D$4:R$30,13,FALSE),"")</f>
        <v>0</v>
      </c>
      <c r="G76" s="5" t="s">
        <v>31</v>
      </c>
      <c r="H76" s="4">
        <f>IFERROR(VLOOKUP(G76,enum!F$4:T$30,11,FALSE),"")</f>
        <v>0</v>
      </c>
      <c r="I76" s="5" t="s">
        <v>41</v>
      </c>
      <c r="J76" s="4">
        <f>IFERROR(VLOOKUP(I76,enum!H$4:V$30,9,FALSE),"")</f>
        <v>0</v>
      </c>
      <c r="K76" s="5" t="s">
        <v>50</v>
      </c>
      <c r="L76" s="4">
        <f>IFERROR(VLOOKUP(K76,enum!J$4:X$30,7,FALSE),"")</f>
        <v>0</v>
      </c>
      <c r="M76" s="4">
        <v>0</v>
      </c>
      <c r="N76" s="4">
        <v>0</v>
      </c>
      <c r="O76" s="4">
        <v>0</v>
      </c>
      <c r="P76" s="4">
        <v>0</v>
      </c>
      <c r="Q76" s="5" t="s">
        <v>79</v>
      </c>
      <c r="R76" s="4">
        <f>IFERROR(VLOOKUP(Q76,enum!L$4:Q$30,5,FALSE),"")</f>
        <v>0</v>
      </c>
      <c r="S76" s="9">
        <v>0</v>
      </c>
      <c r="T76"/>
    </row>
    <row r="77" spans="2:20" x14ac:dyDescent="0.15">
      <c r="B77" s="15">
        <v>0</v>
      </c>
      <c r="C77" s="5" t="s">
        <v>13</v>
      </c>
      <c r="D77" s="4">
        <f>IFERROR(VLOOKUP(C77,enum!B$4:P$30,15,FALSE),"")</f>
        <v>0</v>
      </c>
      <c r="E77" s="5" t="s">
        <v>22</v>
      </c>
      <c r="F77" s="4">
        <f>IFERROR(VLOOKUP(E77,enum!D$4:R$30,13,FALSE),"")</f>
        <v>0</v>
      </c>
      <c r="G77" s="5" t="s">
        <v>31</v>
      </c>
      <c r="H77" s="4">
        <f>IFERROR(VLOOKUP(G77,enum!F$4:T$30,11,FALSE),"")</f>
        <v>0</v>
      </c>
      <c r="I77" s="5" t="s">
        <v>41</v>
      </c>
      <c r="J77" s="4">
        <f>IFERROR(VLOOKUP(I77,enum!H$4:V$30,9,FALSE),"")</f>
        <v>0</v>
      </c>
      <c r="K77" s="5" t="s">
        <v>50</v>
      </c>
      <c r="L77" s="4">
        <f>IFERROR(VLOOKUP(K77,enum!J$4:X$30,7,FALSE),"")</f>
        <v>0</v>
      </c>
      <c r="M77" s="4">
        <v>0</v>
      </c>
      <c r="N77" s="4">
        <v>0</v>
      </c>
      <c r="O77" s="4">
        <v>0</v>
      </c>
      <c r="P77" s="4">
        <v>0</v>
      </c>
      <c r="Q77" s="5" t="s">
        <v>79</v>
      </c>
      <c r="R77" s="4">
        <f>IFERROR(VLOOKUP(Q77,enum!L$4:Q$30,5,FALSE),"")</f>
        <v>0</v>
      </c>
      <c r="S77" s="9">
        <v>0</v>
      </c>
      <c r="T77"/>
    </row>
    <row r="78" spans="2:20" x14ac:dyDescent="0.15">
      <c r="B78" s="15">
        <v>0</v>
      </c>
      <c r="C78" s="5" t="s">
        <v>13</v>
      </c>
      <c r="D78" s="4">
        <f>IFERROR(VLOOKUP(C78,enum!B$4:P$30,15,FALSE),"")</f>
        <v>0</v>
      </c>
      <c r="E78" s="5" t="s">
        <v>22</v>
      </c>
      <c r="F78" s="4">
        <f>IFERROR(VLOOKUP(E78,enum!D$4:R$30,13,FALSE),"")</f>
        <v>0</v>
      </c>
      <c r="G78" s="5" t="s">
        <v>31</v>
      </c>
      <c r="H78" s="4">
        <f>IFERROR(VLOOKUP(G78,enum!F$4:T$30,11,FALSE),"")</f>
        <v>0</v>
      </c>
      <c r="I78" s="5" t="s">
        <v>41</v>
      </c>
      <c r="J78" s="4">
        <f>IFERROR(VLOOKUP(I78,enum!H$4:V$30,9,FALSE),"")</f>
        <v>0</v>
      </c>
      <c r="K78" s="5" t="s">
        <v>50</v>
      </c>
      <c r="L78" s="4">
        <f>IFERROR(VLOOKUP(K78,enum!J$4:X$30,7,FALSE),"")</f>
        <v>0</v>
      </c>
      <c r="M78" s="4">
        <v>0</v>
      </c>
      <c r="N78" s="4">
        <v>0</v>
      </c>
      <c r="O78" s="4">
        <v>0</v>
      </c>
      <c r="P78" s="4">
        <v>0</v>
      </c>
      <c r="Q78" s="5" t="s">
        <v>79</v>
      </c>
      <c r="R78" s="4">
        <f>IFERROR(VLOOKUP(Q78,enum!L$4:Q$30,5,FALSE),"")</f>
        <v>0</v>
      </c>
      <c r="S78" s="9">
        <v>0</v>
      </c>
      <c r="T78"/>
    </row>
    <row r="79" spans="2:20" x14ac:dyDescent="0.15">
      <c r="B79" s="15">
        <v>0</v>
      </c>
      <c r="C79" s="5" t="s">
        <v>13</v>
      </c>
      <c r="D79" s="4">
        <f>IFERROR(VLOOKUP(C79,enum!B$4:P$30,15,FALSE),"")</f>
        <v>0</v>
      </c>
      <c r="E79" s="5" t="s">
        <v>22</v>
      </c>
      <c r="F79" s="4">
        <f>IFERROR(VLOOKUP(E79,enum!D$4:R$30,13,FALSE),"")</f>
        <v>0</v>
      </c>
      <c r="G79" s="5" t="s">
        <v>31</v>
      </c>
      <c r="H79" s="4">
        <f>IFERROR(VLOOKUP(G79,enum!F$4:T$30,11,FALSE),"")</f>
        <v>0</v>
      </c>
      <c r="I79" s="5" t="s">
        <v>41</v>
      </c>
      <c r="J79" s="4">
        <f>IFERROR(VLOOKUP(I79,enum!H$4:V$30,9,FALSE),"")</f>
        <v>0</v>
      </c>
      <c r="K79" s="5" t="s">
        <v>50</v>
      </c>
      <c r="L79" s="4">
        <f>IFERROR(VLOOKUP(K79,enum!J$4:X$30,7,FALSE),"")</f>
        <v>0</v>
      </c>
      <c r="M79" s="4">
        <v>0</v>
      </c>
      <c r="N79" s="4">
        <v>0</v>
      </c>
      <c r="O79" s="4">
        <v>0</v>
      </c>
      <c r="P79" s="4">
        <v>0</v>
      </c>
      <c r="Q79" s="5" t="s">
        <v>79</v>
      </c>
      <c r="R79" s="4">
        <f>IFERROR(VLOOKUP(Q79,enum!L$4:Q$30,5,FALSE),"")</f>
        <v>0</v>
      </c>
      <c r="S79" s="9">
        <v>0</v>
      </c>
      <c r="T79"/>
    </row>
    <row r="80" spans="2:20" x14ac:dyDescent="0.15">
      <c r="B80" s="15">
        <v>0</v>
      </c>
      <c r="C80" s="5" t="s">
        <v>13</v>
      </c>
      <c r="D80" s="4">
        <f>IFERROR(VLOOKUP(C80,enum!B$4:P$30,15,FALSE),"")</f>
        <v>0</v>
      </c>
      <c r="E80" s="5" t="s">
        <v>22</v>
      </c>
      <c r="F80" s="4">
        <f>IFERROR(VLOOKUP(E80,enum!D$4:R$30,13,FALSE),"")</f>
        <v>0</v>
      </c>
      <c r="G80" s="5" t="s">
        <v>31</v>
      </c>
      <c r="H80" s="4">
        <f>IFERROR(VLOOKUP(G80,enum!F$4:T$30,11,FALSE),"")</f>
        <v>0</v>
      </c>
      <c r="I80" s="5" t="s">
        <v>41</v>
      </c>
      <c r="J80" s="4">
        <f>IFERROR(VLOOKUP(I80,enum!H$4:V$30,9,FALSE),"")</f>
        <v>0</v>
      </c>
      <c r="K80" s="5" t="s">
        <v>50</v>
      </c>
      <c r="L80" s="4">
        <f>IFERROR(VLOOKUP(K80,enum!J$4:X$30,7,FALSE),"")</f>
        <v>0</v>
      </c>
      <c r="M80" s="4">
        <v>0</v>
      </c>
      <c r="N80" s="4">
        <v>0</v>
      </c>
      <c r="O80" s="4">
        <v>0</v>
      </c>
      <c r="P80" s="4">
        <v>0</v>
      </c>
      <c r="Q80" s="5" t="s">
        <v>79</v>
      </c>
      <c r="R80" s="4">
        <f>IFERROR(VLOOKUP(Q80,enum!L$4:Q$30,5,FALSE),"")</f>
        <v>0</v>
      </c>
      <c r="S80" s="9">
        <v>0</v>
      </c>
      <c r="T80"/>
    </row>
    <row r="81" spans="2:20" x14ac:dyDescent="0.15">
      <c r="B81" s="15">
        <v>0</v>
      </c>
      <c r="C81" s="5" t="s">
        <v>13</v>
      </c>
      <c r="D81" s="4">
        <f>IFERROR(VLOOKUP(C81,enum!B$4:P$30,15,FALSE),"")</f>
        <v>0</v>
      </c>
      <c r="E81" s="5" t="s">
        <v>22</v>
      </c>
      <c r="F81" s="4">
        <f>IFERROR(VLOOKUP(E81,enum!D$4:R$30,13,FALSE),"")</f>
        <v>0</v>
      </c>
      <c r="G81" s="5" t="s">
        <v>31</v>
      </c>
      <c r="H81" s="4">
        <f>IFERROR(VLOOKUP(G81,enum!F$4:T$30,11,FALSE),"")</f>
        <v>0</v>
      </c>
      <c r="I81" s="5" t="s">
        <v>41</v>
      </c>
      <c r="J81" s="4">
        <f>IFERROR(VLOOKUP(I81,enum!H$4:V$30,9,FALSE),"")</f>
        <v>0</v>
      </c>
      <c r="K81" s="5" t="s">
        <v>50</v>
      </c>
      <c r="L81" s="4">
        <f>IFERROR(VLOOKUP(K81,enum!J$4:X$30,7,FALSE),"")</f>
        <v>0</v>
      </c>
      <c r="M81" s="4">
        <v>0</v>
      </c>
      <c r="N81" s="4">
        <v>0</v>
      </c>
      <c r="O81" s="4">
        <v>0</v>
      </c>
      <c r="P81" s="4">
        <v>0</v>
      </c>
      <c r="Q81" s="5" t="s">
        <v>79</v>
      </c>
      <c r="R81" s="4">
        <f>IFERROR(VLOOKUP(Q81,enum!L$4:Q$30,5,FALSE),"")</f>
        <v>0</v>
      </c>
      <c r="S81" s="9">
        <v>0</v>
      </c>
      <c r="T81"/>
    </row>
    <row r="82" spans="2:20" x14ac:dyDescent="0.15">
      <c r="B82" s="15">
        <v>0</v>
      </c>
      <c r="C82" s="5" t="s">
        <v>13</v>
      </c>
      <c r="D82" s="4">
        <f>IFERROR(VLOOKUP(C82,enum!B$4:P$30,15,FALSE),"")</f>
        <v>0</v>
      </c>
      <c r="E82" s="5" t="s">
        <v>22</v>
      </c>
      <c r="F82" s="4">
        <f>IFERROR(VLOOKUP(E82,enum!D$4:R$30,13,FALSE),"")</f>
        <v>0</v>
      </c>
      <c r="G82" s="5" t="s">
        <v>31</v>
      </c>
      <c r="H82" s="4">
        <f>IFERROR(VLOOKUP(G82,enum!F$4:T$30,11,FALSE),"")</f>
        <v>0</v>
      </c>
      <c r="I82" s="5" t="s">
        <v>41</v>
      </c>
      <c r="J82" s="4">
        <f>IFERROR(VLOOKUP(I82,enum!H$4:V$30,9,FALSE),"")</f>
        <v>0</v>
      </c>
      <c r="K82" s="5" t="s">
        <v>50</v>
      </c>
      <c r="L82" s="4">
        <f>IFERROR(VLOOKUP(K82,enum!J$4:X$30,7,FALSE),"")</f>
        <v>0</v>
      </c>
      <c r="M82" s="4">
        <v>0</v>
      </c>
      <c r="N82" s="4">
        <v>0</v>
      </c>
      <c r="O82" s="4">
        <v>0</v>
      </c>
      <c r="P82" s="4">
        <v>0</v>
      </c>
      <c r="Q82" s="5" t="s">
        <v>79</v>
      </c>
      <c r="R82" s="4">
        <f>IFERROR(VLOOKUP(Q82,enum!L$4:Q$30,5,FALSE),"")</f>
        <v>0</v>
      </c>
      <c r="S82" s="9">
        <v>0</v>
      </c>
      <c r="T82"/>
    </row>
    <row r="83" spans="2:20" x14ac:dyDescent="0.15">
      <c r="B83" s="15">
        <v>0</v>
      </c>
      <c r="C83" s="5" t="s">
        <v>13</v>
      </c>
      <c r="D83" s="4">
        <f>IFERROR(VLOOKUP(C83,enum!B$4:P$30,15,FALSE),"")</f>
        <v>0</v>
      </c>
      <c r="E83" s="5" t="s">
        <v>22</v>
      </c>
      <c r="F83" s="4">
        <f>IFERROR(VLOOKUP(E83,enum!D$4:R$30,13,FALSE),"")</f>
        <v>0</v>
      </c>
      <c r="G83" s="5" t="s">
        <v>31</v>
      </c>
      <c r="H83" s="4">
        <f>IFERROR(VLOOKUP(G83,enum!F$4:T$30,11,FALSE),"")</f>
        <v>0</v>
      </c>
      <c r="I83" s="5" t="s">
        <v>41</v>
      </c>
      <c r="J83" s="4">
        <f>IFERROR(VLOOKUP(I83,enum!H$4:V$30,9,FALSE),"")</f>
        <v>0</v>
      </c>
      <c r="K83" s="5" t="s">
        <v>50</v>
      </c>
      <c r="L83" s="4">
        <f>IFERROR(VLOOKUP(K83,enum!J$4:X$30,7,FALSE),"")</f>
        <v>0</v>
      </c>
      <c r="M83" s="4">
        <v>0</v>
      </c>
      <c r="N83" s="4">
        <v>0</v>
      </c>
      <c r="O83" s="4">
        <v>0</v>
      </c>
      <c r="P83" s="4">
        <v>0</v>
      </c>
      <c r="Q83" s="5" t="s">
        <v>79</v>
      </c>
      <c r="R83" s="4">
        <f>IFERROR(VLOOKUP(Q83,enum!L$4:Q$30,5,FALSE),"")</f>
        <v>0</v>
      </c>
      <c r="S83" s="9">
        <v>0</v>
      </c>
      <c r="T83"/>
    </row>
    <row r="84" spans="2:20" x14ac:dyDescent="0.15">
      <c r="B84" s="15">
        <v>0</v>
      </c>
      <c r="C84" s="5" t="s">
        <v>13</v>
      </c>
      <c r="D84" s="4">
        <f>IFERROR(VLOOKUP(C84,enum!B$4:P$30,15,FALSE),"")</f>
        <v>0</v>
      </c>
      <c r="E84" s="5" t="s">
        <v>22</v>
      </c>
      <c r="F84" s="4">
        <f>IFERROR(VLOOKUP(E84,enum!D$4:R$30,13,FALSE),"")</f>
        <v>0</v>
      </c>
      <c r="G84" s="5" t="s">
        <v>31</v>
      </c>
      <c r="H84" s="4">
        <f>IFERROR(VLOOKUP(G84,enum!F$4:T$30,11,FALSE),"")</f>
        <v>0</v>
      </c>
      <c r="I84" s="5" t="s">
        <v>41</v>
      </c>
      <c r="J84" s="4">
        <f>IFERROR(VLOOKUP(I84,enum!H$4:V$30,9,FALSE),"")</f>
        <v>0</v>
      </c>
      <c r="K84" s="5" t="s">
        <v>50</v>
      </c>
      <c r="L84" s="4">
        <f>IFERROR(VLOOKUP(K84,enum!J$4:X$30,7,FALSE),"")</f>
        <v>0</v>
      </c>
      <c r="M84" s="4">
        <v>0</v>
      </c>
      <c r="N84" s="4">
        <v>0</v>
      </c>
      <c r="O84" s="4">
        <v>0</v>
      </c>
      <c r="P84" s="4">
        <v>0</v>
      </c>
      <c r="Q84" s="5" t="s">
        <v>79</v>
      </c>
      <c r="R84" s="4">
        <f>IFERROR(VLOOKUP(Q84,enum!L$4:Q$30,5,FALSE),"")</f>
        <v>0</v>
      </c>
      <c r="S84" s="9">
        <v>0</v>
      </c>
      <c r="T84"/>
    </row>
    <row r="85" spans="2:20" x14ac:dyDescent="0.15">
      <c r="B85" s="15">
        <v>0</v>
      </c>
      <c r="C85" s="5" t="s">
        <v>13</v>
      </c>
      <c r="D85" s="4">
        <f>IFERROR(VLOOKUP(C85,enum!B$4:P$30,15,FALSE),"")</f>
        <v>0</v>
      </c>
      <c r="E85" s="5" t="s">
        <v>22</v>
      </c>
      <c r="F85" s="4">
        <f>IFERROR(VLOOKUP(E85,enum!D$4:R$30,13,FALSE),"")</f>
        <v>0</v>
      </c>
      <c r="G85" s="5" t="s">
        <v>31</v>
      </c>
      <c r="H85" s="4">
        <f>IFERROR(VLOOKUP(G85,enum!F$4:T$30,11,FALSE),"")</f>
        <v>0</v>
      </c>
      <c r="I85" s="5" t="s">
        <v>41</v>
      </c>
      <c r="J85" s="4">
        <f>IFERROR(VLOOKUP(I85,enum!H$4:V$30,9,FALSE),"")</f>
        <v>0</v>
      </c>
      <c r="K85" s="5" t="s">
        <v>50</v>
      </c>
      <c r="L85" s="4">
        <f>IFERROR(VLOOKUP(K85,enum!J$4:X$30,7,FALSE),"")</f>
        <v>0</v>
      </c>
      <c r="M85" s="4">
        <v>0</v>
      </c>
      <c r="N85" s="4">
        <v>0</v>
      </c>
      <c r="O85" s="4">
        <v>0</v>
      </c>
      <c r="P85" s="4">
        <v>0</v>
      </c>
      <c r="Q85" s="5" t="s">
        <v>79</v>
      </c>
      <c r="R85" s="4">
        <f>IFERROR(VLOOKUP(Q85,enum!L$4:Q$30,5,FALSE),"")</f>
        <v>0</v>
      </c>
      <c r="S85" s="9">
        <v>0</v>
      </c>
      <c r="T85"/>
    </row>
    <row r="86" spans="2:20" x14ac:dyDescent="0.15">
      <c r="B86" s="15">
        <v>0</v>
      </c>
      <c r="C86" s="5" t="s">
        <v>13</v>
      </c>
      <c r="D86" s="4">
        <f>IFERROR(VLOOKUP(C86,enum!B$4:P$30,15,FALSE),"")</f>
        <v>0</v>
      </c>
      <c r="E86" s="5" t="s">
        <v>22</v>
      </c>
      <c r="F86" s="4">
        <f>IFERROR(VLOOKUP(E86,enum!D$4:R$30,13,FALSE),"")</f>
        <v>0</v>
      </c>
      <c r="G86" s="5" t="s">
        <v>31</v>
      </c>
      <c r="H86" s="4">
        <f>IFERROR(VLOOKUP(G86,enum!F$4:T$30,11,FALSE),"")</f>
        <v>0</v>
      </c>
      <c r="I86" s="5" t="s">
        <v>41</v>
      </c>
      <c r="J86" s="4">
        <f>IFERROR(VLOOKUP(I86,enum!H$4:V$30,9,FALSE),"")</f>
        <v>0</v>
      </c>
      <c r="K86" s="5" t="s">
        <v>50</v>
      </c>
      <c r="L86" s="4">
        <f>IFERROR(VLOOKUP(K86,enum!J$4:X$30,7,FALSE),"")</f>
        <v>0</v>
      </c>
      <c r="M86" s="4">
        <v>0</v>
      </c>
      <c r="N86" s="4">
        <v>0</v>
      </c>
      <c r="O86" s="4">
        <v>0</v>
      </c>
      <c r="P86" s="4">
        <v>0</v>
      </c>
      <c r="Q86" s="5" t="s">
        <v>79</v>
      </c>
      <c r="R86" s="4">
        <f>IFERROR(VLOOKUP(Q86,enum!L$4:Q$30,5,FALSE),"")</f>
        <v>0</v>
      </c>
      <c r="S86" s="9">
        <v>0</v>
      </c>
      <c r="T86"/>
    </row>
    <row r="87" spans="2:20" x14ac:dyDescent="0.15">
      <c r="B87" s="15">
        <v>0</v>
      </c>
      <c r="C87" s="5" t="s">
        <v>13</v>
      </c>
      <c r="D87" s="4">
        <f>IFERROR(VLOOKUP(C87,enum!B$4:P$30,15,FALSE),"")</f>
        <v>0</v>
      </c>
      <c r="E87" s="5" t="s">
        <v>22</v>
      </c>
      <c r="F87" s="4">
        <f>IFERROR(VLOOKUP(E87,enum!D$4:R$30,13,FALSE),"")</f>
        <v>0</v>
      </c>
      <c r="G87" s="5" t="s">
        <v>31</v>
      </c>
      <c r="H87" s="4">
        <f>IFERROR(VLOOKUP(G87,enum!F$4:T$30,11,FALSE),"")</f>
        <v>0</v>
      </c>
      <c r="I87" s="5" t="s">
        <v>41</v>
      </c>
      <c r="J87" s="4">
        <f>IFERROR(VLOOKUP(I87,enum!H$4:V$30,9,FALSE),"")</f>
        <v>0</v>
      </c>
      <c r="K87" s="5" t="s">
        <v>50</v>
      </c>
      <c r="L87" s="4">
        <f>IFERROR(VLOOKUP(K87,enum!J$4:X$30,7,FALSE),"")</f>
        <v>0</v>
      </c>
      <c r="M87" s="4">
        <v>0</v>
      </c>
      <c r="N87" s="4">
        <v>0</v>
      </c>
      <c r="O87" s="4">
        <v>0</v>
      </c>
      <c r="P87" s="4">
        <v>0</v>
      </c>
      <c r="Q87" s="5" t="s">
        <v>79</v>
      </c>
      <c r="R87" s="4">
        <f>IFERROR(VLOOKUP(Q87,enum!L$4:Q$30,5,FALSE),"")</f>
        <v>0</v>
      </c>
      <c r="S87" s="9">
        <v>0</v>
      </c>
      <c r="T87"/>
    </row>
    <row r="88" spans="2:20" x14ac:dyDescent="0.15">
      <c r="B88" s="15">
        <v>0</v>
      </c>
      <c r="C88" s="5" t="s">
        <v>13</v>
      </c>
      <c r="D88" s="4">
        <f>IFERROR(VLOOKUP(C88,enum!B$4:P$30,15,FALSE),"")</f>
        <v>0</v>
      </c>
      <c r="E88" s="5" t="s">
        <v>22</v>
      </c>
      <c r="F88" s="4">
        <f>IFERROR(VLOOKUP(E88,enum!D$4:R$30,13,FALSE),"")</f>
        <v>0</v>
      </c>
      <c r="G88" s="5" t="s">
        <v>31</v>
      </c>
      <c r="H88" s="4">
        <f>IFERROR(VLOOKUP(G88,enum!F$4:T$30,11,FALSE),"")</f>
        <v>0</v>
      </c>
      <c r="I88" s="5" t="s">
        <v>41</v>
      </c>
      <c r="J88" s="4">
        <f>IFERROR(VLOOKUP(I88,enum!H$4:V$30,9,FALSE),"")</f>
        <v>0</v>
      </c>
      <c r="K88" s="5" t="s">
        <v>50</v>
      </c>
      <c r="L88" s="4">
        <f>IFERROR(VLOOKUP(K88,enum!J$4:X$30,7,FALSE),"")</f>
        <v>0</v>
      </c>
      <c r="M88" s="4">
        <v>0</v>
      </c>
      <c r="N88" s="4">
        <v>0</v>
      </c>
      <c r="O88" s="4">
        <v>0</v>
      </c>
      <c r="P88" s="4">
        <v>0</v>
      </c>
      <c r="Q88" s="5" t="s">
        <v>79</v>
      </c>
      <c r="R88" s="4">
        <f>IFERROR(VLOOKUP(Q88,enum!L$4:Q$30,5,FALSE),"")</f>
        <v>0</v>
      </c>
      <c r="S88" s="9">
        <v>0</v>
      </c>
      <c r="T88"/>
    </row>
    <row r="89" spans="2:20" x14ac:dyDescent="0.15">
      <c r="B89" s="15">
        <v>0</v>
      </c>
      <c r="C89" s="5" t="s">
        <v>13</v>
      </c>
      <c r="D89" s="4">
        <f>IFERROR(VLOOKUP(C89,enum!B$4:P$30,15,FALSE),"")</f>
        <v>0</v>
      </c>
      <c r="E89" s="5" t="s">
        <v>22</v>
      </c>
      <c r="F89" s="4">
        <f>IFERROR(VLOOKUP(E89,enum!D$4:R$30,13,FALSE),"")</f>
        <v>0</v>
      </c>
      <c r="G89" s="5" t="s">
        <v>31</v>
      </c>
      <c r="H89" s="4">
        <f>IFERROR(VLOOKUP(G89,enum!F$4:T$30,11,FALSE),"")</f>
        <v>0</v>
      </c>
      <c r="I89" s="5" t="s">
        <v>41</v>
      </c>
      <c r="J89" s="4">
        <f>IFERROR(VLOOKUP(I89,enum!H$4:V$30,9,FALSE),"")</f>
        <v>0</v>
      </c>
      <c r="K89" s="5" t="s">
        <v>50</v>
      </c>
      <c r="L89" s="4">
        <f>IFERROR(VLOOKUP(K89,enum!J$4:X$30,7,FALSE),"")</f>
        <v>0</v>
      </c>
      <c r="M89" s="4">
        <v>0</v>
      </c>
      <c r="N89" s="4">
        <v>0</v>
      </c>
      <c r="O89" s="4">
        <v>0</v>
      </c>
      <c r="P89" s="4">
        <v>0</v>
      </c>
      <c r="Q89" s="5" t="s">
        <v>79</v>
      </c>
      <c r="R89" s="4">
        <f>IFERROR(VLOOKUP(Q89,enum!L$4:Q$30,5,FALSE),"")</f>
        <v>0</v>
      </c>
      <c r="S89" s="9">
        <v>0</v>
      </c>
      <c r="T89"/>
    </row>
    <row r="90" spans="2:20" x14ac:dyDescent="0.15">
      <c r="B90" s="15">
        <v>0</v>
      </c>
      <c r="C90" s="5" t="s">
        <v>13</v>
      </c>
      <c r="D90" s="4">
        <f>IFERROR(VLOOKUP(C90,enum!B$4:P$30,15,FALSE),"")</f>
        <v>0</v>
      </c>
      <c r="E90" s="5" t="s">
        <v>22</v>
      </c>
      <c r="F90" s="4">
        <f>IFERROR(VLOOKUP(E90,enum!D$4:R$30,13,FALSE),"")</f>
        <v>0</v>
      </c>
      <c r="G90" s="5" t="s">
        <v>31</v>
      </c>
      <c r="H90" s="4">
        <f>IFERROR(VLOOKUP(G90,enum!F$4:T$30,11,FALSE),"")</f>
        <v>0</v>
      </c>
      <c r="I90" s="5" t="s">
        <v>41</v>
      </c>
      <c r="J90" s="4">
        <f>IFERROR(VLOOKUP(I90,enum!H$4:V$30,9,FALSE),"")</f>
        <v>0</v>
      </c>
      <c r="K90" s="5" t="s">
        <v>50</v>
      </c>
      <c r="L90" s="4">
        <f>IFERROR(VLOOKUP(K90,enum!J$4:X$30,7,FALSE),"")</f>
        <v>0</v>
      </c>
      <c r="M90" s="4">
        <v>0</v>
      </c>
      <c r="N90" s="4">
        <v>0</v>
      </c>
      <c r="O90" s="4">
        <v>0</v>
      </c>
      <c r="P90" s="4">
        <v>0</v>
      </c>
      <c r="Q90" s="5" t="s">
        <v>79</v>
      </c>
      <c r="R90" s="4">
        <f>IFERROR(VLOOKUP(Q90,enum!L$4:Q$30,5,FALSE),"")</f>
        <v>0</v>
      </c>
      <c r="S90" s="9">
        <v>0</v>
      </c>
      <c r="T90"/>
    </row>
    <row r="91" spans="2:20" x14ac:dyDescent="0.15">
      <c r="B91" s="15">
        <v>0</v>
      </c>
      <c r="C91" s="5" t="s">
        <v>13</v>
      </c>
      <c r="D91" s="4">
        <f>IFERROR(VLOOKUP(C91,enum!B$4:P$30,15,FALSE),"")</f>
        <v>0</v>
      </c>
      <c r="E91" s="5" t="s">
        <v>22</v>
      </c>
      <c r="F91" s="4">
        <f>IFERROR(VLOOKUP(E91,enum!D$4:R$30,13,FALSE),"")</f>
        <v>0</v>
      </c>
      <c r="G91" s="5" t="s">
        <v>31</v>
      </c>
      <c r="H91" s="4">
        <f>IFERROR(VLOOKUP(G91,enum!F$4:T$30,11,FALSE),"")</f>
        <v>0</v>
      </c>
      <c r="I91" s="5" t="s">
        <v>41</v>
      </c>
      <c r="J91" s="4">
        <f>IFERROR(VLOOKUP(I91,enum!H$4:V$30,9,FALSE),"")</f>
        <v>0</v>
      </c>
      <c r="K91" s="5" t="s">
        <v>50</v>
      </c>
      <c r="L91" s="4">
        <f>IFERROR(VLOOKUP(K91,enum!J$4:X$30,7,FALSE),"")</f>
        <v>0</v>
      </c>
      <c r="M91" s="4">
        <v>0</v>
      </c>
      <c r="N91" s="4">
        <v>0</v>
      </c>
      <c r="O91" s="4">
        <v>0</v>
      </c>
      <c r="P91" s="4">
        <v>0</v>
      </c>
      <c r="Q91" s="5" t="s">
        <v>79</v>
      </c>
      <c r="R91" s="4">
        <f>IFERROR(VLOOKUP(Q91,enum!L$4:Q$30,5,FALSE),"")</f>
        <v>0</v>
      </c>
      <c r="S91" s="9">
        <v>0</v>
      </c>
      <c r="T91"/>
    </row>
    <row r="92" spans="2:20" x14ac:dyDescent="0.15">
      <c r="B92" s="15">
        <v>0</v>
      </c>
      <c r="C92" s="5" t="s">
        <v>13</v>
      </c>
      <c r="D92" s="4">
        <f>IFERROR(VLOOKUP(C92,enum!B$4:P$30,15,FALSE),"")</f>
        <v>0</v>
      </c>
      <c r="E92" s="5" t="s">
        <v>22</v>
      </c>
      <c r="F92" s="4">
        <f>IFERROR(VLOOKUP(E92,enum!D$4:R$30,13,FALSE),"")</f>
        <v>0</v>
      </c>
      <c r="G92" s="5" t="s">
        <v>31</v>
      </c>
      <c r="H92" s="4">
        <f>IFERROR(VLOOKUP(G92,enum!F$4:T$30,11,FALSE),"")</f>
        <v>0</v>
      </c>
      <c r="I92" s="5" t="s">
        <v>41</v>
      </c>
      <c r="J92" s="4">
        <f>IFERROR(VLOOKUP(I92,enum!H$4:V$30,9,FALSE),"")</f>
        <v>0</v>
      </c>
      <c r="K92" s="5" t="s">
        <v>50</v>
      </c>
      <c r="L92" s="4">
        <f>IFERROR(VLOOKUP(K92,enum!J$4:X$30,7,FALSE),"")</f>
        <v>0</v>
      </c>
      <c r="M92" s="4">
        <v>0</v>
      </c>
      <c r="N92" s="4">
        <v>0</v>
      </c>
      <c r="O92" s="4">
        <v>0</v>
      </c>
      <c r="P92" s="4">
        <v>0</v>
      </c>
      <c r="Q92" s="5" t="s">
        <v>79</v>
      </c>
      <c r="R92" s="4">
        <f>IFERROR(VLOOKUP(Q92,enum!L$4:Q$30,5,FALSE),"")</f>
        <v>0</v>
      </c>
      <c r="S92" s="9">
        <v>0</v>
      </c>
      <c r="T92"/>
    </row>
    <row r="93" spans="2:20" x14ac:dyDescent="0.15">
      <c r="B93" s="15">
        <v>0</v>
      </c>
      <c r="C93" s="5" t="s">
        <v>13</v>
      </c>
      <c r="D93" s="4">
        <f>IFERROR(VLOOKUP(C93,enum!B$4:P$30,15,FALSE),"")</f>
        <v>0</v>
      </c>
      <c r="E93" s="5" t="s">
        <v>22</v>
      </c>
      <c r="F93" s="4">
        <f>IFERROR(VLOOKUP(E93,enum!D$4:R$30,13,FALSE),"")</f>
        <v>0</v>
      </c>
      <c r="G93" s="5" t="s">
        <v>31</v>
      </c>
      <c r="H93" s="4">
        <f>IFERROR(VLOOKUP(G93,enum!F$4:T$30,11,FALSE),"")</f>
        <v>0</v>
      </c>
      <c r="I93" s="5" t="s">
        <v>41</v>
      </c>
      <c r="J93" s="4">
        <f>IFERROR(VLOOKUP(I93,enum!H$4:V$30,9,FALSE),"")</f>
        <v>0</v>
      </c>
      <c r="K93" s="5" t="s">
        <v>50</v>
      </c>
      <c r="L93" s="4">
        <f>IFERROR(VLOOKUP(K93,enum!J$4:X$30,7,FALSE),"")</f>
        <v>0</v>
      </c>
      <c r="M93" s="4">
        <v>0</v>
      </c>
      <c r="N93" s="4">
        <v>0</v>
      </c>
      <c r="O93" s="4">
        <v>0</v>
      </c>
      <c r="P93" s="4">
        <v>0</v>
      </c>
      <c r="Q93" s="5" t="s">
        <v>79</v>
      </c>
      <c r="R93" s="4">
        <f>IFERROR(VLOOKUP(Q93,enum!L$4:Q$30,5,FALSE),"")</f>
        <v>0</v>
      </c>
      <c r="S93" s="9">
        <v>0</v>
      </c>
      <c r="T93"/>
    </row>
    <row r="94" spans="2:20" x14ac:dyDescent="0.15">
      <c r="B94" s="15">
        <v>0</v>
      </c>
      <c r="C94" s="5" t="s">
        <v>13</v>
      </c>
      <c r="D94" s="4">
        <f>IFERROR(VLOOKUP(C94,enum!B$4:P$30,15,FALSE),"")</f>
        <v>0</v>
      </c>
      <c r="E94" s="5" t="s">
        <v>22</v>
      </c>
      <c r="F94" s="4">
        <f>IFERROR(VLOOKUP(E94,enum!D$4:R$30,13,FALSE),"")</f>
        <v>0</v>
      </c>
      <c r="G94" s="5" t="s">
        <v>31</v>
      </c>
      <c r="H94" s="4">
        <f>IFERROR(VLOOKUP(G94,enum!F$4:T$30,11,FALSE),"")</f>
        <v>0</v>
      </c>
      <c r="I94" s="5" t="s">
        <v>41</v>
      </c>
      <c r="J94" s="4">
        <f>IFERROR(VLOOKUP(I94,enum!H$4:V$30,9,FALSE),"")</f>
        <v>0</v>
      </c>
      <c r="K94" s="5" t="s">
        <v>50</v>
      </c>
      <c r="L94" s="4">
        <f>IFERROR(VLOOKUP(K94,enum!J$4:X$30,7,FALSE),"")</f>
        <v>0</v>
      </c>
      <c r="M94" s="4">
        <v>0</v>
      </c>
      <c r="N94" s="4">
        <v>0</v>
      </c>
      <c r="O94" s="4">
        <v>0</v>
      </c>
      <c r="P94" s="4">
        <v>0</v>
      </c>
      <c r="Q94" s="5" t="s">
        <v>79</v>
      </c>
      <c r="R94" s="4">
        <f>IFERROR(VLOOKUP(Q94,enum!L$4:Q$30,5,FALSE),"")</f>
        <v>0</v>
      </c>
      <c r="S94" s="9">
        <v>0</v>
      </c>
      <c r="T94"/>
    </row>
    <row r="95" spans="2:20" x14ac:dyDescent="0.15">
      <c r="B95" s="15">
        <v>0</v>
      </c>
      <c r="C95" s="5" t="s">
        <v>13</v>
      </c>
      <c r="D95" s="4">
        <f>IFERROR(VLOOKUP(C95,enum!B$4:P$30,15,FALSE),"")</f>
        <v>0</v>
      </c>
      <c r="E95" s="5" t="s">
        <v>22</v>
      </c>
      <c r="F95" s="4">
        <f>IFERROR(VLOOKUP(E95,enum!D$4:R$30,13,FALSE),"")</f>
        <v>0</v>
      </c>
      <c r="G95" s="5" t="s">
        <v>31</v>
      </c>
      <c r="H95" s="4">
        <f>IFERROR(VLOOKUP(G95,enum!F$4:T$30,11,FALSE),"")</f>
        <v>0</v>
      </c>
      <c r="I95" s="5" t="s">
        <v>41</v>
      </c>
      <c r="J95" s="4">
        <f>IFERROR(VLOOKUP(I95,enum!H$4:V$30,9,FALSE),"")</f>
        <v>0</v>
      </c>
      <c r="K95" s="5" t="s">
        <v>50</v>
      </c>
      <c r="L95" s="4">
        <f>IFERROR(VLOOKUP(K95,enum!J$4:X$30,7,FALSE),"")</f>
        <v>0</v>
      </c>
      <c r="M95" s="4">
        <v>0</v>
      </c>
      <c r="N95" s="4">
        <v>0</v>
      </c>
      <c r="O95" s="4">
        <v>0</v>
      </c>
      <c r="P95" s="4">
        <v>0</v>
      </c>
      <c r="Q95" s="5" t="s">
        <v>79</v>
      </c>
      <c r="R95" s="4">
        <f>IFERROR(VLOOKUP(Q95,enum!L$4:Q$30,5,FALSE),"")</f>
        <v>0</v>
      </c>
      <c r="S95" s="9">
        <v>0</v>
      </c>
      <c r="T95"/>
    </row>
    <row r="96" spans="2:20" x14ac:dyDescent="0.15">
      <c r="B96" s="15">
        <v>0</v>
      </c>
      <c r="C96" s="5" t="s">
        <v>13</v>
      </c>
      <c r="D96" s="4">
        <f>IFERROR(VLOOKUP(C96,enum!B$4:P$30,15,FALSE),"")</f>
        <v>0</v>
      </c>
      <c r="E96" s="5" t="s">
        <v>22</v>
      </c>
      <c r="F96" s="4">
        <f>IFERROR(VLOOKUP(E96,enum!D$4:R$30,13,FALSE),"")</f>
        <v>0</v>
      </c>
      <c r="G96" s="5" t="s">
        <v>31</v>
      </c>
      <c r="H96" s="4">
        <f>IFERROR(VLOOKUP(G96,enum!F$4:T$30,11,FALSE),"")</f>
        <v>0</v>
      </c>
      <c r="I96" s="5" t="s">
        <v>41</v>
      </c>
      <c r="J96" s="4">
        <f>IFERROR(VLOOKUP(I96,enum!H$4:V$30,9,FALSE),"")</f>
        <v>0</v>
      </c>
      <c r="K96" s="5" t="s">
        <v>50</v>
      </c>
      <c r="L96" s="4">
        <f>IFERROR(VLOOKUP(K96,enum!J$4:X$30,7,FALSE),"")</f>
        <v>0</v>
      </c>
      <c r="M96" s="4">
        <v>0</v>
      </c>
      <c r="N96" s="4">
        <v>0</v>
      </c>
      <c r="O96" s="4">
        <v>0</v>
      </c>
      <c r="P96" s="4">
        <v>0</v>
      </c>
      <c r="Q96" s="5" t="s">
        <v>79</v>
      </c>
      <c r="R96" s="4">
        <f>IFERROR(VLOOKUP(Q96,enum!L$4:Q$30,5,FALSE),"")</f>
        <v>0</v>
      </c>
      <c r="S96" s="9">
        <v>0</v>
      </c>
      <c r="T96"/>
    </row>
    <row r="97" spans="2:20" x14ac:dyDescent="0.15">
      <c r="B97" s="15">
        <v>0</v>
      </c>
      <c r="C97" s="5" t="s">
        <v>13</v>
      </c>
      <c r="D97" s="4">
        <f>IFERROR(VLOOKUP(C97,enum!B$4:P$30,15,FALSE),"")</f>
        <v>0</v>
      </c>
      <c r="E97" s="5" t="s">
        <v>22</v>
      </c>
      <c r="F97" s="4">
        <f>IFERROR(VLOOKUP(E97,enum!D$4:R$30,13,FALSE),"")</f>
        <v>0</v>
      </c>
      <c r="G97" s="5" t="s">
        <v>31</v>
      </c>
      <c r="H97" s="4">
        <f>IFERROR(VLOOKUP(G97,enum!F$4:T$30,11,FALSE),"")</f>
        <v>0</v>
      </c>
      <c r="I97" s="5" t="s">
        <v>41</v>
      </c>
      <c r="J97" s="4">
        <f>IFERROR(VLOOKUP(I97,enum!H$4:V$30,9,FALSE),"")</f>
        <v>0</v>
      </c>
      <c r="K97" s="5" t="s">
        <v>50</v>
      </c>
      <c r="L97" s="4">
        <f>IFERROR(VLOOKUP(K97,enum!J$4:X$30,7,FALSE),"")</f>
        <v>0</v>
      </c>
      <c r="M97" s="4">
        <v>0</v>
      </c>
      <c r="N97" s="4">
        <v>0</v>
      </c>
      <c r="O97" s="4">
        <v>0</v>
      </c>
      <c r="P97" s="4">
        <v>0</v>
      </c>
      <c r="Q97" s="5" t="s">
        <v>79</v>
      </c>
      <c r="R97" s="4">
        <f>IFERROR(VLOOKUP(Q97,enum!L$4:Q$30,5,FALSE),"")</f>
        <v>0</v>
      </c>
      <c r="S97" s="9">
        <v>0</v>
      </c>
      <c r="T97"/>
    </row>
    <row r="98" spans="2:20" x14ac:dyDescent="0.15">
      <c r="B98" s="15">
        <v>0</v>
      </c>
      <c r="C98" s="5" t="s">
        <v>13</v>
      </c>
      <c r="D98" s="4">
        <f>IFERROR(VLOOKUP(C98,enum!B$4:P$30,15,FALSE),"")</f>
        <v>0</v>
      </c>
      <c r="E98" s="5" t="s">
        <v>22</v>
      </c>
      <c r="F98" s="4">
        <f>IFERROR(VLOOKUP(E98,enum!D$4:R$30,13,FALSE),"")</f>
        <v>0</v>
      </c>
      <c r="G98" s="5" t="s">
        <v>31</v>
      </c>
      <c r="H98" s="4">
        <f>IFERROR(VLOOKUP(G98,enum!F$4:T$30,11,FALSE),"")</f>
        <v>0</v>
      </c>
      <c r="I98" s="5" t="s">
        <v>41</v>
      </c>
      <c r="J98" s="4">
        <f>IFERROR(VLOOKUP(I98,enum!H$4:V$30,9,FALSE),"")</f>
        <v>0</v>
      </c>
      <c r="K98" s="5" t="s">
        <v>50</v>
      </c>
      <c r="L98" s="4">
        <f>IFERROR(VLOOKUP(K98,enum!J$4:X$30,7,FALSE),"")</f>
        <v>0</v>
      </c>
      <c r="M98" s="4">
        <v>0</v>
      </c>
      <c r="N98" s="4">
        <v>0</v>
      </c>
      <c r="O98" s="4">
        <v>0</v>
      </c>
      <c r="P98" s="4">
        <v>0</v>
      </c>
      <c r="Q98" s="5" t="s">
        <v>79</v>
      </c>
      <c r="R98" s="4">
        <f>IFERROR(VLOOKUP(Q98,enum!L$4:Q$30,5,FALSE),"")</f>
        <v>0</v>
      </c>
      <c r="S98" s="9">
        <v>0</v>
      </c>
      <c r="T98"/>
    </row>
    <row r="99" spans="2:20" x14ac:dyDescent="0.15">
      <c r="B99" s="15">
        <v>0</v>
      </c>
      <c r="C99" s="5" t="s">
        <v>13</v>
      </c>
      <c r="D99" s="4">
        <f>IFERROR(VLOOKUP(C99,enum!B$4:P$30,15,FALSE),"")</f>
        <v>0</v>
      </c>
      <c r="E99" s="5" t="s">
        <v>22</v>
      </c>
      <c r="F99" s="4">
        <f>IFERROR(VLOOKUP(E99,enum!D$4:R$30,13,FALSE),"")</f>
        <v>0</v>
      </c>
      <c r="G99" s="5" t="s">
        <v>31</v>
      </c>
      <c r="H99" s="4">
        <f>IFERROR(VLOOKUP(G99,enum!F$4:T$30,11,FALSE),"")</f>
        <v>0</v>
      </c>
      <c r="I99" s="5" t="s">
        <v>41</v>
      </c>
      <c r="J99" s="4">
        <f>IFERROR(VLOOKUP(I99,enum!H$4:V$30,9,FALSE),"")</f>
        <v>0</v>
      </c>
      <c r="K99" s="5" t="s">
        <v>50</v>
      </c>
      <c r="L99" s="4">
        <f>IFERROR(VLOOKUP(K99,enum!J$4:X$30,7,FALSE),"")</f>
        <v>0</v>
      </c>
      <c r="M99" s="4">
        <v>0</v>
      </c>
      <c r="N99" s="4">
        <v>0</v>
      </c>
      <c r="O99" s="4">
        <v>0</v>
      </c>
      <c r="P99" s="4">
        <v>0</v>
      </c>
      <c r="Q99" s="5" t="s">
        <v>79</v>
      </c>
      <c r="R99" s="4">
        <f>IFERROR(VLOOKUP(Q99,enum!L$4:Q$30,5,FALSE),"")</f>
        <v>0</v>
      </c>
      <c r="S99" s="9">
        <v>0</v>
      </c>
      <c r="T99"/>
    </row>
    <row r="100" spans="2:20" x14ac:dyDescent="0.15">
      <c r="B100" s="15">
        <v>0</v>
      </c>
      <c r="C100" s="5" t="s">
        <v>13</v>
      </c>
      <c r="D100" s="4">
        <f>IFERROR(VLOOKUP(C100,enum!B$4:P$30,15,FALSE),"")</f>
        <v>0</v>
      </c>
      <c r="E100" s="5" t="s">
        <v>22</v>
      </c>
      <c r="F100" s="4">
        <f>IFERROR(VLOOKUP(E100,enum!D$4:R$30,13,FALSE),"")</f>
        <v>0</v>
      </c>
      <c r="G100" s="5" t="s">
        <v>31</v>
      </c>
      <c r="H100" s="4">
        <f>IFERROR(VLOOKUP(G100,enum!F$4:T$30,11,FALSE),"")</f>
        <v>0</v>
      </c>
      <c r="I100" s="5" t="s">
        <v>41</v>
      </c>
      <c r="J100" s="4">
        <f>IFERROR(VLOOKUP(I100,enum!H$4:V$30,9,FALSE),"")</f>
        <v>0</v>
      </c>
      <c r="K100" s="5" t="s">
        <v>50</v>
      </c>
      <c r="L100" s="4">
        <f>IFERROR(VLOOKUP(K100,enum!J$4:X$30,7,FALSE),"")</f>
        <v>0</v>
      </c>
      <c r="M100" s="4">
        <v>0</v>
      </c>
      <c r="N100" s="4">
        <v>0</v>
      </c>
      <c r="O100" s="4">
        <v>0</v>
      </c>
      <c r="P100" s="4">
        <v>0</v>
      </c>
      <c r="Q100" s="5" t="s">
        <v>79</v>
      </c>
      <c r="R100" s="4">
        <f>IFERROR(VLOOKUP(Q100,enum!L$4:Q$30,5,FALSE),"")</f>
        <v>0</v>
      </c>
      <c r="S100" s="9">
        <v>0</v>
      </c>
      <c r="T100"/>
    </row>
    <row r="101" spans="2:20" x14ac:dyDescent="0.15">
      <c r="B101" s="15">
        <v>0</v>
      </c>
      <c r="C101" s="5" t="s">
        <v>13</v>
      </c>
      <c r="D101" s="4">
        <f>IFERROR(VLOOKUP(C101,enum!B$4:P$30,15,FALSE),"")</f>
        <v>0</v>
      </c>
      <c r="E101" s="5" t="s">
        <v>22</v>
      </c>
      <c r="F101" s="4">
        <f>IFERROR(VLOOKUP(E101,enum!D$4:R$30,13,FALSE),"")</f>
        <v>0</v>
      </c>
      <c r="G101" s="5" t="s">
        <v>31</v>
      </c>
      <c r="H101" s="4">
        <f>IFERROR(VLOOKUP(G101,enum!F$4:T$30,11,FALSE),"")</f>
        <v>0</v>
      </c>
      <c r="I101" s="5" t="s">
        <v>41</v>
      </c>
      <c r="J101" s="4">
        <f>IFERROR(VLOOKUP(I101,enum!H$4:V$30,9,FALSE),"")</f>
        <v>0</v>
      </c>
      <c r="K101" s="5" t="s">
        <v>50</v>
      </c>
      <c r="L101" s="4">
        <f>IFERROR(VLOOKUP(K101,enum!J$4:X$30,7,FALSE),"")</f>
        <v>0</v>
      </c>
      <c r="M101" s="4">
        <v>0</v>
      </c>
      <c r="N101" s="4">
        <v>0</v>
      </c>
      <c r="O101" s="4">
        <v>0</v>
      </c>
      <c r="P101" s="4">
        <v>0</v>
      </c>
      <c r="Q101" s="5" t="s">
        <v>79</v>
      </c>
      <c r="R101" s="4">
        <f>IFERROR(VLOOKUP(Q101,enum!L$4:Q$30,5,FALSE),"")</f>
        <v>0</v>
      </c>
      <c r="S101" s="9">
        <v>0</v>
      </c>
      <c r="T101"/>
    </row>
    <row r="102" spans="2:20" x14ac:dyDescent="0.15">
      <c r="B102" s="15">
        <v>0</v>
      </c>
      <c r="C102" s="5" t="s">
        <v>13</v>
      </c>
      <c r="D102" s="4">
        <f>IFERROR(VLOOKUP(C102,enum!B$4:P$30,15,FALSE),"")</f>
        <v>0</v>
      </c>
      <c r="E102" s="5" t="s">
        <v>22</v>
      </c>
      <c r="F102" s="4">
        <f>IFERROR(VLOOKUP(E102,enum!D$4:R$30,13,FALSE),"")</f>
        <v>0</v>
      </c>
      <c r="G102" s="5" t="s">
        <v>31</v>
      </c>
      <c r="H102" s="4">
        <f>IFERROR(VLOOKUP(G102,enum!F$4:T$30,11,FALSE),"")</f>
        <v>0</v>
      </c>
      <c r="I102" s="5" t="s">
        <v>41</v>
      </c>
      <c r="J102" s="4">
        <f>IFERROR(VLOOKUP(I102,enum!H$4:V$30,9,FALSE),"")</f>
        <v>0</v>
      </c>
      <c r="K102" s="5" t="s">
        <v>50</v>
      </c>
      <c r="L102" s="4">
        <f>IFERROR(VLOOKUP(K102,enum!J$4:X$30,7,FALSE),"")</f>
        <v>0</v>
      </c>
      <c r="M102" s="4">
        <v>0</v>
      </c>
      <c r="N102" s="4">
        <v>0</v>
      </c>
      <c r="O102" s="4">
        <v>0</v>
      </c>
      <c r="P102" s="4">
        <v>0</v>
      </c>
      <c r="Q102" s="5" t="s">
        <v>79</v>
      </c>
      <c r="R102" s="4">
        <f>IFERROR(VLOOKUP(Q102,enum!L$4:Q$30,5,FALSE),"")</f>
        <v>0</v>
      </c>
      <c r="S102" s="9">
        <v>0</v>
      </c>
      <c r="T102"/>
    </row>
    <row r="103" spans="2:20" x14ac:dyDescent="0.15">
      <c r="B103" s="15">
        <v>0</v>
      </c>
      <c r="C103" s="5" t="s">
        <v>13</v>
      </c>
      <c r="D103" s="4">
        <f>IFERROR(VLOOKUP(C103,enum!B$4:P$30,15,FALSE),"")</f>
        <v>0</v>
      </c>
      <c r="E103" s="5" t="s">
        <v>22</v>
      </c>
      <c r="F103" s="4">
        <f>IFERROR(VLOOKUP(E103,enum!D$4:R$30,13,FALSE),"")</f>
        <v>0</v>
      </c>
      <c r="G103" s="5" t="s">
        <v>31</v>
      </c>
      <c r="H103" s="4">
        <f>IFERROR(VLOOKUP(G103,enum!F$4:T$30,11,FALSE),"")</f>
        <v>0</v>
      </c>
      <c r="I103" s="5" t="s">
        <v>41</v>
      </c>
      <c r="J103" s="4">
        <f>IFERROR(VLOOKUP(I103,enum!H$4:V$30,9,FALSE),"")</f>
        <v>0</v>
      </c>
      <c r="K103" s="5" t="s">
        <v>50</v>
      </c>
      <c r="L103" s="4">
        <f>IFERROR(VLOOKUP(K103,enum!J$4:X$30,7,FALSE),"")</f>
        <v>0</v>
      </c>
      <c r="M103" s="4">
        <v>0</v>
      </c>
      <c r="N103" s="4">
        <v>0</v>
      </c>
      <c r="O103" s="4">
        <v>0</v>
      </c>
      <c r="P103" s="4">
        <v>0</v>
      </c>
      <c r="Q103" s="5" t="s">
        <v>79</v>
      </c>
      <c r="R103" s="4">
        <f>IFERROR(VLOOKUP(Q103,enum!L$4:Q$30,5,FALSE),"")</f>
        <v>0</v>
      </c>
      <c r="S103" s="9">
        <v>0</v>
      </c>
      <c r="T103"/>
    </row>
    <row r="104" spans="2:20" x14ac:dyDescent="0.15">
      <c r="B104" s="15">
        <v>0</v>
      </c>
      <c r="C104" s="5" t="s">
        <v>13</v>
      </c>
      <c r="D104" s="4">
        <f>IFERROR(VLOOKUP(C104,enum!B$4:P$30,15,FALSE),"")</f>
        <v>0</v>
      </c>
      <c r="E104" s="5" t="s">
        <v>22</v>
      </c>
      <c r="F104" s="4">
        <f>IFERROR(VLOOKUP(E104,enum!D$4:R$30,13,FALSE),"")</f>
        <v>0</v>
      </c>
      <c r="G104" s="5" t="s">
        <v>31</v>
      </c>
      <c r="H104" s="4">
        <f>IFERROR(VLOOKUP(G104,enum!F$4:T$30,11,FALSE),"")</f>
        <v>0</v>
      </c>
      <c r="I104" s="5" t="s">
        <v>41</v>
      </c>
      <c r="J104" s="4">
        <f>IFERROR(VLOOKUP(I104,enum!H$4:V$30,9,FALSE),"")</f>
        <v>0</v>
      </c>
      <c r="K104" s="5" t="s">
        <v>50</v>
      </c>
      <c r="L104" s="4">
        <f>IFERROR(VLOOKUP(K104,enum!J$4:X$30,7,FALSE),"")</f>
        <v>0</v>
      </c>
      <c r="M104" s="4">
        <v>0</v>
      </c>
      <c r="N104" s="4">
        <v>0</v>
      </c>
      <c r="O104" s="4">
        <v>0</v>
      </c>
      <c r="P104" s="4">
        <v>0</v>
      </c>
      <c r="Q104" s="5" t="s">
        <v>79</v>
      </c>
      <c r="R104" s="4">
        <f>IFERROR(VLOOKUP(Q104,enum!L$4:Q$30,5,FALSE),"")</f>
        <v>0</v>
      </c>
      <c r="S104" s="9">
        <v>0</v>
      </c>
      <c r="T104"/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SAVE_HARD">
                <anchor moveWithCells="1" sizeWithCells="1">
                  <from>
                    <xdr:col>6</xdr:col>
                    <xdr:colOff>19050</xdr:colOff>
                    <xdr:row>0</xdr:row>
                    <xdr:rowOff>133350</xdr:rowOff>
                  </from>
                  <to>
                    <xdr:col>10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enum!$B$4:$B$13</xm:f>
          </x14:formula1>
          <xm:sqref>C6:C104</xm:sqref>
        </x14:dataValidation>
        <x14:dataValidation type="list" allowBlank="1" showInputMessage="1" showErrorMessage="1">
          <x14:formula1>
            <xm:f>enum!$D$4:$D$30</xm:f>
          </x14:formula1>
          <xm:sqref>E6:E104</xm:sqref>
        </x14:dataValidation>
        <x14:dataValidation type="list" allowBlank="1" showInputMessage="1" showErrorMessage="1">
          <x14:formula1>
            <xm:f>enum!$F$4:$F$13</xm:f>
          </x14:formula1>
          <xm:sqref>G6:G104</xm:sqref>
        </x14:dataValidation>
        <x14:dataValidation type="list" allowBlank="1" showInputMessage="1" showErrorMessage="1">
          <x14:formula1>
            <xm:f>enum!$H$4:$H$12</xm:f>
          </x14:formula1>
          <xm:sqref>I6:I104</xm:sqref>
        </x14:dataValidation>
        <x14:dataValidation type="list" allowBlank="1" showInputMessage="1" showErrorMessage="1">
          <x14:formula1>
            <xm:f>enum!$J$4:$J$30</xm:f>
          </x14:formula1>
          <xm:sqref>K6:K104</xm:sqref>
        </x14:dataValidation>
        <x14:dataValidation type="list" allowBlank="1" showInputMessage="1" showErrorMessage="1">
          <x14:formula1>
            <xm:f>enum!$L$4:$L$6</xm:f>
          </x14:formula1>
          <xm:sqref>Q6:Q104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P30"/>
  <sheetViews>
    <sheetView zoomScale="160" zoomScaleNormal="160" workbookViewId="0">
      <selection activeCell="H35" sqref="H35"/>
    </sheetView>
  </sheetViews>
  <sheetFormatPr defaultRowHeight="13.5" x14ac:dyDescent="0.15"/>
  <cols>
    <col min="1" max="1" width="2.25" customWidth="1"/>
    <col min="2" max="2" width="10.5" customWidth="1"/>
    <col min="3" max="3" width="1.625" customWidth="1"/>
    <col min="5" max="5" width="1.625" customWidth="1"/>
    <col min="7" max="7" width="1.625" customWidth="1"/>
    <col min="9" max="9" width="1.625" customWidth="1"/>
    <col min="11" max="11" width="1.625" customWidth="1"/>
    <col min="12" max="12" width="10.625" customWidth="1"/>
    <col min="13" max="13" width="1.625" customWidth="1"/>
    <col min="15" max="15" width="1.75" customWidth="1"/>
    <col min="16" max="16" width="3.25" customWidth="1"/>
  </cols>
  <sheetData>
    <row r="3" spans="2:16" s="1" customFormat="1" ht="26.25" customHeight="1" x14ac:dyDescent="0.15">
      <c r="B3" s="1" t="s">
        <v>10</v>
      </c>
      <c r="D3" s="1" t="s">
        <v>9</v>
      </c>
      <c r="F3" s="1" t="s">
        <v>0</v>
      </c>
      <c r="H3" s="1" t="s">
        <v>1</v>
      </c>
      <c r="J3" s="1" t="s">
        <v>2</v>
      </c>
      <c r="L3" s="1" t="s">
        <v>7</v>
      </c>
      <c r="N3" s="1" t="s">
        <v>8</v>
      </c>
    </row>
    <row r="4" spans="2:16" x14ac:dyDescent="0.15">
      <c r="B4" t="s">
        <v>13</v>
      </c>
      <c r="D4" t="s">
        <v>22</v>
      </c>
      <c r="F4" t="s">
        <v>31</v>
      </c>
      <c r="H4" t="s">
        <v>41</v>
      </c>
      <c r="J4" t="s">
        <v>50</v>
      </c>
      <c r="L4" t="s">
        <v>80</v>
      </c>
      <c r="P4">
        <v>0</v>
      </c>
    </row>
    <row r="5" spans="2:16" x14ac:dyDescent="0.15">
      <c r="B5" t="s">
        <v>14</v>
      </c>
      <c r="D5" t="s">
        <v>23</v>
      </c>
      <c r="F5" t="s">
        <v>32</v>
      </c>
      <c r="H5" t="s">
        <v>42</v>
      </c>
      <c r="J5" t="s">
        <v>51</v>
      </c>
      <c r="L5" t="s">
        <v>78</v>
      </c>
      <c r="P5">
        <v>1</v>
      </c>
    </row>
    <row r="6" spans="2:16" x14ac:dyDescent="0.15">
      <c r="B6" t="s">
        <v>15</v>
      </c>
      <c r="D6" t="s">
        <v>24</v>
      </c>
      <c r="F6" t="s">
        <v>33</v>
      </c>
      <c r="H6" t="s">
        <v>43</v>
      </c>
      <c r="J6" t="s">
        <v>52</v>
      </c>
      <c r="L6" t="s">
        <v>77</v>
      </c>
      <c r="P6">
        <v>2</v>
      </c>
    </row>
    <row r="7" spans="2:16" x14ac:dyDescent="0.15">
      <c r="B7" t="s">
        <v>16</v>
      </c>
      <c r="D7" t="s">
        <v>25</v>
      </c>
      <c r="F7" t="s">
        <v>34</v>
      </c>
      <c r="H7" t="s">
        <v>44</v>
      </c>
      <c r="J7" t="s">
        <v>53</v>
      </c>
      <c r="P7">
        <v>3</v>
      </c>
    </row>
    <row r="8" spans="2:16" x14ac:dyDescent="0.15">
      <c r="B8" t="s">
        <v>17</v>
      </c>
      <c r="D8" t="s">
        <v>26</v>
      </c>
      <c r="F8" t="s">
        <v>35</v>
      </c>
      <c r="H8" t="s">
        <v>45</v>
      </c>
      <c r="J8" t="s">
        <v>54</v>
      </c>
      <c r="P8">
        <v>4</v>
      </c>
    </row>
    <row r="9" spans="2:16" x14ac:dyDescent="0.15">
      <c r="B9" t="s">
        <v>18</v>
      </c>
      <c r="D9" t="s">
        <v>27</v>
      </c>
      <c r="F9" t="s">
        <v>36</v>
      </c>
      <c r="H9" t="s">
        <v>46</v>
      </c>
      <c r="J9" t="s">
        <v>55</v>
      </c>
      <c r="P9">
        <v>5</v>
      </c>
    </row>
    <row r="10" spans="2:16" x14ac:dyDescent="0.15">
      <c r="B10" t="s">
        <v>19</v>
      </c>
      <c r="D10" t="s">
        <v>28</v>
      </c>
      <c r="F10" t="s">
        <v>37</v>
      </c>
      <c r="H10" t="s">
        <v>47</v>
      </c>
      <c r="J10" t="s">
        <v>56</v>
      </c>
      <c r="P10">
        <v>6</v>
      </c>
    </row>
    <row r="11" spans="2:16" x14ac:dyDescent="0.15">
      <c r="B11" t="s">
        <v>20</v>
      </c>
      <c r="D11" t="s">
        <v>29</v>
      </c>
      <c r="F11" t="s">
        <v>38</v>
      </c>
      <c r="H11" t="s">
        <v>48</v>
      </c>
      <c r="J11" t="s">
        <v>57</v>
      </c>
      <c r="P11">
        <v>7</v>
      </c>
    </row>
    <row r="12" spans="2:16" x14ac:dyDescent="0.15">
      <c r="B12" t="s">
        <v>21</v>
      </c>
      <c r="D12" t="s">
        <v>30</v>
      </c>
      <c r="F12" t="s">
        <v>39</v>
      </c>
      <c r="H12" t="s">
        <v>49</v>
      </c>
      <c r="J12" t="s">
        <v>58</v>
      </c>
      <c r="P12">
        <v>8</v>
      </c>
    </row>
    <row r="13" spans="2:16" x14ac:dyDescent="0.15">
      <c r="B13" t="s">
        <v>12</v>
      </c>
      <c r="F13" t="s">
        <v>40</v>
      </c>
      <c r="J13" t="s">
        <v>59</v>
      </c>
      <c r="P13">
        <v>9</v>
      </c>
    </row>
    <row r="14" spans="2:16" x14ac:dyDescent="0.15">
      <c r="J14" t="s">
        <v>60</v>
      </c>
      <c r="P14">
        <v>10</v>
      </c>
    </row>
    <row r="15" spans="2:16" x14ac:dyDescent="0.15">
      <c r="J15" t="s">
        <v>61</v>
      </c>
      <c r="P15">
        <v>11</v>
      </c>
    </row>
    <row r="16" spans="2:16" x14ac:dyDescent="0.15">
      <c r="J16" t="s">
        <v>62</v>
      </c>
      <c r="P16">
        <v>12</v>
      </c>
    </row>
    <row r="17" spans="10:16" x14ac:dyDescent="0.15">
      <c r="J17" t="s">
        <v>63</v>
      </c>
      <c r="P17">
        <v>13</v>
      </c>
    </row>
    <row r="18" spans="10:16" x14ac:dyDescent="0.15">
      <c r="J18" t="s">
        <v>64</v>
      </c>
      <c r="P18">
        <v>14</v>
      </c>
    </row>
    <row r="19" spans="10:16" x14ac:dyDescent="0.15">
      <c r="J19" t="s">
        <v>65</v>
      </c>
      <c r="P19">
        <v>15</v>
      </c>
    </row>
    <row r="20" spans="10:16" x14ac:dyDescent="0.15">
      <c r="J20" t="s">
        <v>66</v>
      </c>
      <c r="P20">
        <v>16</v>
      </c>
    </row>
    <row r="21" spans="10:16" x14ac:dyDescent="0.15">
      <c r="J21" t="s">
        <v>67</v>
      </c>
      <c r="P21">
        <v>17</v>
      </c>
    </row>
    <row r="22" spans="10:16" x14ac:dyDescent="0.15">
      <c r="J22" t="s">
        <v>68</v>
      </c>
      <c r="P22">
        <v>18</v>
      </c>
    </row>
    <row r="23" spans="10:16" x14ac:dyDescent="0.15">
      <c r="J23" t="s">
        <v>69</v>
      </c>
      <c r="P23">
        <v>19</v>
      </c>
    </row>
    <row r="24" spans="10:16" x14ac:dyDescent="0.15">
      <c r="J24" t="s">
        <v>70</v>
      </c>
      <c r="P24">
        <v>20</v>
      </c>
    </row>
    <row r="25" spans="10:16" x14ac:dyDescent="0.15">
      <c r="J25" t="s">
        <v>71</v>
      </c>
      <c r="P25">
        <v>21</v>
      </c>
    </row>
    <row r="26" spans="10:16" x14ac:dyDescent="0.15">
      <c r="J26" t="s">
        <v>72</v>
      </c>
      <c r="P26">
        <v>22</v>
      </c>
    </row>
    <row r="27" spans="10:16" x14ac:dyDescent="0.15">
      <c r="J27" t="s">
        <v>73</v>
      </c>
      <c r="P27">
        <v>23</v>
      </c>
    </row>
    <row r="28" spans="10:16" x14ac:dyDescent="0.15">
      <c r="J28" t="s">
        <v>74</v>
      </c>
      <c r="P28">
        <v>24</v>
      </c>
    </row>
    <row r="29" spans="10:16" x14ac:dyDescent="0.15">
      <c r="J29" t="s">
        <v>75</v>
      </c>
      <c r="P29">
        <v>25</v>
      </c>
    </row>
    <row r="30" spans="10:16" x14ac:dyDescent="0.15">
      <c r="J30" t="s">
        <v>76</v>
      </c>
      <c r="P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"/>
  <sheetViews>
    <sheetView workbookViewId="0">
      <selection sqref="A1:L99"/>
    </sheetView>
  </sheetViews>
  <sheetFormatPr defaultRowHeight="13.5" x14ac:dyDescent="0.15"/>
  <cols>
    <col min="1" max="16384" width="9" style="16"/>
  </cols>
  <sheetData>
    <row r="1" spans="1:12" x14ac:dyDescent="0.15">
      <c r="A1" s="17">
        <f>SetEnemyEasy!B6</f>
        <v>200</v>
      </c>
      <c r="B1" s="17">
        <f>SetEnemyEasy!D6</f>
        <v>0</v>
      </c>
      <c r="C1" s="17">
        <f>SetEnemyEasy!F6</f>
        <v>2</v>
      </c>
      <c r="D1" s="17">
        <f>SetEnemyEasy!H6</f>
        <v>4</v>
      </c>
      <c r="E1" s="17">
        <f>SetEnemyEasy!J6</f>
        <v>0</v>
      </c>
      <c r="F1" s="17">
        <f>SetEnemyEasy!L6</f>
        <v>0</v>
      </c>
      <c r="G1" s="17">
        <f>SetEnemyEasy!M6</f>
        <v>7</v>
      </c>
      <c r="H1" s="17">
        <f>SetEnemyEasy!N6</f>
        <v>1</v>
      </c>
      <c r="I1" s="17">
        <f>SetEnemyEasy!O6</f>
        <v>1</v>
      </c>
      <c r="J1" s="17">
        <f>SetEnemyEasy!P6</f>
        <v>1</v>
      </c>
      <c r="K1" s="17">
        <f>SetEnemyEasy!R6</f>
        <v>0</v>
      </c>
      <c r="L1" s="17">
        <f>SetEnemyEasy!S6</f>
        <v>0</v>
      </c>
    </row>
    <row r="2" spans="1:12" x14ac:dyDescent="0.15">
      <c r="A2" s="18">
        <f>SetEnemyEasy!B7</f>
        <v>250</v>
      </c>
      <c r="B2" s="18">
        <f>SetEnemyEasy!D7</f>
        <v>0</v>
      </c>
      <c r="C2" s="18">
        <f>SetEnemyEasy!F7</f>
        <v>2</v>
      </c>
      <c r="D2" s="18">
        <f>SetEnemyEasy!H7</f>
        <v>4</v>
      </c>
      <c r="E2" s="18">
        <f>SetEnemyEasy!J7</f>
        <v>0</v>
      </c>
      <c r="F2" s="18">
        <f>SetEnemyEasy!L7</f>
        <v>0</v>
      </c>
      <c r="G2" s="18">
        <f>SetEnemyEasy!M7</f>
        <v>7</v>
      </c>
      <c r="H2" s="18">
        <f>SetEnemyEasy!N7</f>
        <v>1</v>
      </c>
      <c r="I2" s="18">
        <f>SetEnemyEasy!O7</f>
        <v>1</v>
      </c>
      <c r="J2" s="18">
        <f>SetEnemyEasy!P7</f>
        <v>1</v>
      </c>
      <c r="K2" s="18">
        <f>SetEnemyEasy!R7</f>
        <v>0</v>
      </c>
      <c r="L2" s="18">
        <f>SetEnemyEasy!S7</f>
        <v>0</v>
      </c>
    </row>
    <row r="3" spans="1:12" x14ac:dyDescent="0.15">
      <c r="A3" s="17">
        <f>SetEnemyEasy!B8</f>
        <v>300</v>
      </c>
      <c r="B3" s="17">
        <f>SetEnemyEasy!D8</f>
        <v>0</v>
      </c>
      <c r="C3" s="17">
        <f>SetEnemyEasy!F8</f>
        <v>2</v>
      </c>
      <c r="D3" s="17">
        <f>SetEnemyEasy!H8</f>
        <v>2</v>
      </c>
      <c r="E3" s="17">
        <f>SetEnemyEasy!J8</f>
        <v>0</v>
      </c>
      <c r="F3" s="17">
        <f>SetEnemyEasy!L8</f>
        <v>0</v>
      </c>
      <c r="G3" s="17">
        <f>SetEnemyEasy!M8</f>
        <v>7</v>
      </c>
      <c r="H3" s="17">
        <f>SetEnemyEasy!N8</f>
        <v>1</v>
      </c>
      <c r="I3" s="17">
        <f>SetEnemyEasy!O8</f>
        <v>1</v>
      </c>
      <c r="J3" s="17">
        <f>SetEnemyEasy!P8</f>
        <v>1</v>
      </c>
      <c r="K3" s="17">
        <f>SetEnemyEasy!R8</f>
        <v>0</v>
      </c>
      <c r="L3" s="17">
        <f>SetEnemyEasy!S8</f>
        <v>0</v>
      </c>
    </row>
    <row r="4" spans="1:12" x14ac:dyDescent="0.15">
      <c r="A4" s="18">
        <f>SetEnemyEasy!B9</f>
        <v>400</v>
      </c>
      <c r="B4" s="18">
        <f>SetEnemyEasy!D9</f>
        <v>5</v>
      </c>
      <c r="C4" s="18">
        <f>SetEnemyEasy!F9</f>
        <v>4</v>
      </c>
      <c r="D4" s="18">
        <f>SetEnemyEasy!H9</f>
        <v>4</v>
      </c>
      <c r="E4" s="18">
        <f>SetEnemyEasy!J9</f>
        <v>0</v>
      </c>
      <c r="F4" s="18">
        <f>SetEnemyEasy!L9</f>
        <v>5</v>
      </c>
      <c r="G4" s="18">
        <f>SetEnemyEasy!M9</f>
        <v>7</v>
      </c>
      <c r="H4" s="18">
        <f>SetEnemyEasy!N9</f>
        <v>1</v>
      </c>
      <c r="I4" s="18">
        <f>SetEnemyEasy!O9</f>
        <v>1</v>
      </c>
      <c r="J4" s="18">
        <f>SetEnemyEasy!P9</f>
        <v>1</v>
      </c>
      <c r="K4" s="18">
        <f>SetEnemyEasy!R9</f>
        <v>0</v>
      </c>
      <c r="L4" s="18">
        <f>SetEnemyEasy!S9</f>
        <v>0</v>
      </c>
    </row>
    <row r="5" spans="1:12" x14ac:dyDescent="0.15">
      <c r="A5" s="17">
        <f>SetEnemyEasy!B10</f>
        <v>450</v>
      </c>
      <c r="B5" s="17">
        <f>SetEnemyEasy!D10</f>
        <v>5</v>
      </c>
      <c r="C5" s="17">
        <f>SetEnemyEasy!F10</f>
        <v>4</v>
      </c>
      <c r="D5" s="17">
        <f>SetEnemyEasy!H10</f>
        <v>4</v>
      </c>
      <c r="E5" s="17">
        <f>SetEnemyEasy!J10</f>
        <v>0</v>
      </c>
      <c r="F5" s="17">
        <f>SetEnemyEasy!L10</f>
        <v>5</v>
      </c>
      <c r="G5" s="17">
        <f>SetEnemyEasy!M10</f>
        <v>7</v>
      </c>
      <c r="H5" s="17">
        <f>SetEnemyEasy!N10</f>
        <v>1</v>
      </c>
      <c r="I5" s="17">
        <f>SetEnemyEasy!O10</f>
        <v>1</v>
      </c>
      <c r="J5" s="17">
        <f>SetEnemyEasy!P10</f>
        <v>1</v>
      </c>
      <c r="K5" s="17">
        <f>SetEnemyEasy!R10</f>
        <v>0</v>
      </c>
      <c r="L5" s="17">
        <f>SetEnemyEasy!S10</f>
        <v>0</v>
      </c>
    </row>
    <row r="6" spans="1:12" x14ac:dyDescent="0.15">
      <c r="A6" s="18">
        <f>SetEnemyEasy!B11</f>
        <v>500</v>
      </c>
      <c r="B6" s="18">
        <f>SetEnemyEasy!D11</f>
        <v>5</v>
      </c>
      <c r="C6" s="18">
        <f>SetEnemyEasy!F11</f>
        <v>4</v>
      </c>
      <c r="D6" s="18">
        <f>SetEnemyEasy!H11</f>
        <v>4</v>
      </c>
      <c r="E6" s="18">
        <f>SetEnemyEasy!J11</f>
        <v>0</v>
      </c>
      <c r="F6" s="18">
        <f>SetEnemyEasy!L11</f>
        <v>5</v>
      </c>
      <c r="G6" s="18">
        <f>SetEnemyEasy!M11</f>
        <v>7</v>
      </c>
      <c r="H6" s="18">
        <f>SetEnemyEasy!N11</f>
        <v>1</v>
      </c>
      <c r="I6" s="18">
        <f>SetEnemyEasy!O11</f>
        <v>1</v>
      </c>
      <c r="J6" s="18">
        <f>SetEnemyEasy!P11</f>
        <v>1</v>
      </c>
      <c r="K6" s="18">
        <f>SetEnemyEasy!R11</f>
        <v>0</v>
      </c>
      <c r="L6" s="18">
        <f>SetEnemyEasy!S11</f>
        <v>0</v>
      </c>
    </row>
    <row r="7" spans="1:12" x14ac:dyDescent="0.15">
      <c r="A7" s="17">
        <f>SetEnemyEasy!B12</f>
        <v>600</v>
      </c>
      <c r="B7" s="17">
        <f>SetEnemyEasy!D12</f>
        <v>1</v>
      </c>
      <c r="C7" s="17">
        <f>SetEnemyEasy!F12</f>
        <v>3</v>
      </c>
      <c r="D7" s="17">
        <f>SetEnemyEasy!H12</f>
        <v>4</v>
      </c>
      <c r="E7" s="17">
        <f>SetEnemyEasy!J12</f>
        <v>0</v>
      </c>
      <c r="F7" s="17">
        <f>SetEnemyEasy!L12</f>
        <v>7</v>
      </c>
      <c r="G7" s="17">
        <f>SetEnemyEasy!M12</f>
        <v>7</v>
      </c>
      <c r="H7" s="17">
        <f>SetEnemyEasy!N12</f>
        <v>1</v>
      </c>
      <c r="I7" s="17">
        <f>SetEnemyEasy!O12</f>
        <v>1</v>
      </c>
      <c r="J7" s="17">
        <f>SetEnemyEasy!P12</f>
        <v>1</v>
      </c>
      <c r="K7" s="17">
        <f>SetEnemyEasy!R12</f>
        <v>0</v>
      </c>
      <c r="L7" s="17">
        <f>SetEnemyEasy!S12</f>
        <v>0</v>
      </c>
    </row>
    <row r="8" spans="1:12" x14ac:dyDescent="0.15">
      <c r="A8" s="18">
        <f>SetEnemyEasy!B13</f>
        <v>650</v>
      </c>
      <c r="B8" s="18">
        <f>SetEnemyEasy!D13</f>
        <v>1</v>
      </c>
      <c r="C8" s="18">
        <f>SetEnemyEasy!F13</f>
        <v>3</v>
      </c>
      <c r="D8" s="18">
        <f>SetEnemyEasy!H13</f>
        <v>4</v>
      </c>
      <c r="E8" s="18">
        <f>SetEnemyEasy!J13</f>
        <v>0</v>
      </c>
      <c r="F8" s="18">
        <f>SetEnemyEasy!L13</f>
        <v>7</v>
      </c>
      <c r="G8" s="18">
        <f>SetEnemyEasy!M13</f>
        <v>7</v>
      </c>
      <c r="H8" s="18">
        <f>SetEnemyEasy!N13</f>
        <v>1</v>
      </c>
      <c r="I8" s="18">
        <f>SetEnemyEasy!O13</f>
        <v>1</v>
      </c>
      <c r="J8" s="18">
        <f>SetEnemyEasy!P13</f>
        <v>1</v>
      </c>
      <c r="K8" s="18">
        <f>SetEnemyEasy!R13</f>
        <v>0</v>
      </c>
      <c r="L8" s="18">
        <f>SetEnemyEasy!S13</f>
        <v>0</v>
      </c>
    </row>
    <row r="9" spans="1:12" x14ac:dyDescent="0.15">
      <c r="A9" s="17">
        <f>SetEnemyEasy!B14</f>
        <v>700</v>
      </c>
      <c r="B9" s="17">
        <f>SetEnemyEasy!D14</f>
        <v>1</v>
      </c>
      <c r="C9" s="17">
        <f>SetEnemyEasy!F14</f>
        <v>3</v>
      </c>
      <c r="D9" s="17">
        <f>SetEnemyEasy!H14</f>
        <v>4</v>
      </c>
      <c r="E9" s="17">
        <f>SetEnemyEasy!J14</f>
        <v>0</v>
      </c>
      <c r="F9" s="17">
        <f>SetEnemyEasy!L14</f>
        <v>7</v>
      </c>
      <c r="G9" s="17">
        <f>SetEnemyEasy!M14</f>
        <v>7</v>
      </c>
      <c r="H9" s="17">
        <f>SetEnemyEasy!N14</f>
        <v>1</v>
      </c>
      <c r="I9" s="17">
        <f>SetEnemyEasy!O14</f>
        <v>1</v>
      </c>
      <c r="J9" s="17">
        <f>SetEnemyEasy!P14</f>
        <v>1</v>
      </c>
      <c r="K9" s="17">
        <f>SetEnemyEasy!R14</f>
        <v>0</v>
      </c>
      <c r="L9" s="17">
        <f>SetEnemyEasy!S14</f>
        <v>0</v>
      </c>
    </row>
    <row r="10" spans="1:12" x14ac:dyDescent="0.15">
      <c r="A10" s="18">
        <f>SetEnemyEasy!B15</f>
        <v>800</v>
      </c>
      <c r="B10" s="18">
        <f>SetEnemyEasy!D15</f>
        <v>3</v>
      </c>
      <c r="C10" s="18">
        <f>SetEnemyEasy!F15</f>
        <v>7</v>
      </c>
      <c r="D10" s="18">
        <f>SetEnemyEasy!H15</f>
        <v>4</v>
      </c>
      <c r="E10" s="18">
        <f>SetEnemyEasy!J15</f>
        <v>0</v>
      </c>
      <c r="F10" s="18">
        <f>SetEnemyEasy!L15</f>
        <v>3</v>
      </c>
      <c r="G10" s="18">
        <f>SetEnemyEasy!M15</f>
        <v>7</v>
      </c>
      <c r="H10" s="18">
        <f>SetEnemyEasy!N15</f>
        <v>1</v>
      </c>
      <c r="I10" s="18">
        <f>SetEnemyEasy!O15</f>
        <v>1</v>
      </c>
      <c r="J10" s="18">
        <f>SetEnemyEasy!P15</f>
        <v>1</v>
      </c>
      <c r="K10" s="18">
        <f>SetEnemyEasy!R15</f>
        <v>0</v>
      </c>
      <c r="L10" s="18">
        <f>SetEnemyEasy!S15</f>
        <v>0</v>
      </c>
    </row>
    <row r="11" spans="1:12" x14ac:dyDescent="0.15">
      <c r="A11" s="17">
        <f>SetEnemyEasy!B16</f>
        <v>850</v>
      </c>
      <c r="B11" s="17">
        <f>SetEnemyEasy!D16</f>
        <v>3</v>
      </c>
      <c r="C11" s="17">
        <f>SetEnemyEasy!F16</f>
        <v>7</v>
      </c>
      <c r="D11" s="17">
        <f>SetEnemyEasy!H16</f>
        <v>4</v>
      </c>
      <c r="E11" s="17">
        <f>SetEnemyEasy!J16</f>
        <v>0</v>
      </c>
      <c r="F11" s="17">
        <f>SetEnemyEasy!L16</f>
        <v>3</v>
      </c>
      <c r="G11" s="17">
        <f>SetEnemyEasy!M16</f>
        <v>7</v>
      </c>
      <c r="H11" s="17">
        <f>SetEnemyEasy!N16</f>
        <v>1</v>
      </c>
      <c r="I11" s="17">
        <f>SetEnemyEasy!O16</f>
        <v>1</v>
      </c>
      <c r="J11" s="17">
        <f>SetEnemyEasy!P16</f>
        <v>1</v>
      </c>
      <c r="K11" s="17">
        <f>SetEnemyEasy!R16</f>
        <v>0</v>
      </c>
      <c r="L11" s="17">
        <f>SetEnemyEasy!S16</f>
        <v>0</v>
      </c>
    </row>
    <row r="12" spans="1:12" x14ac:dyDescent="0.15">
      <c r="A12" s="18">
        <f>SetEnemyEasy!B17</f>
        <v>900</v>
      </c>
      <c r="B12" s="18">
        <f>SetEnemyEasy!D17</f>
        <v>3</v>
      </c>
      <c r="C12" s="18">
        <f>SetEnemyEasy!F17</f>
        <v>7</v>
      </c>
      <c r="D12" s="18">
        <f>SetEnemyEasy!H17</f>
        <v>4</v>
      </c>
      <c r="E12" s="18">
        <f>SetEnemyEasy!J17</f>
        <v>0</v>
      </c>
      <c r="F12" s="18">
        <f>SetEnemyEasy!L17</f>
        <v>3</v>
      </c>
      <c r="G12" s="18">
        <f>SetEnemyEasy!M17</f>
        <v>7</v>
      </c>
      <c r="H12" s="18">
        <f>SetEnemyEasy!N17</f>
        <v>1</v>
      </c>
      <c r="I12" s="18">
        <f>SetEnemyEasy!O17</f>
        <v>1</v>
      </c>
      <c r="J12" s="18">
        <f>SetEnemyEasy!P17</f>
        <v>1</v>
      </c>
      <c r="K12" s="18">
        <f>SetEnemyEasy!R17</f>
        <v>0</v>
      </c>
      <c r="L12" s="18">
        <f>SetEnemyEasy!S17</f>
        <v>0</v>
      </c>
    </row>
    <row r="13" spans="1:12" x14ac:dyDescent="0.15">
      <c r="A13" s="17">
        <f>SetEnemyEasy!B18</f>
        <v>900</v>
      </c>
      <c r="B13" s="17">
        <f>SetEnemyEasy!D18</f>
        <v>7</v>
      </c>
      <c r="C13" s="17">
        <f>SetEnemyEasy!F18</f>
        <v>4</v>
      </c>
      <c r="D13" s="17">
        <f>SetEnemyEasy!H18</f>
        <v>7</v>
      </c>
      <c r="E13" s="17">
        <f>SetEnemyEasy!J18</f>
        <v>5</v>
      </c>
      <c r="F13" s="17">
        <f>SetEnemyEasy!L18</f>
        <v>4</v>
      </c>
      <c r="G13" s="17">
        <f>SetEnemyEasy!M18</f>
        <v>5</v>
      </c>
      <c r="H13" s="17">
        <f>SetEnemyEasy!N18</f>
        <v>1</v>
      </c>
      <c r="I13" s="17">
        <f>SetEnemyEasy!O18</f>
        <v>1</v>
      </c>
      <c r="J13" s="17">
        <f>SetEnemyEasy!P18</f>
        <v>11</v>
      </c>
      <c r="K13" s="17">
        <f>SetEnemyEasy!R18</f>
        <v>0</v>
      </c>
      <c r="L13" s="17">
        <f>SetEnemyEasy!S18</f>
        <v>0</v>
      </c>
    </row>
    <row r="14" spans="1:12" x14ac:dyDescent="0.15">
      <c r="A14" s="18">
        <f>SetEnemyEasy!B19</f>
        <v>1100</v>
      </c>
      <c r="B14" s="18">
        <f>SetEnemyEasy!D19</f>
        <v>7</v>
      </c>
      <c r="C14" s="18">
        <f>SetEnemyEasy!F19</f>
        <v>2</v>
      </c>
      <c r="D14" s="18">
        <f>SetEnemyEasy!H19</f>
        <v>7</v>
      </c>
      <c r="E14" s="18">
        <f>SetEnemyEasy!J19</f>
        <v>5</v>
      </c>
      <c r="F14" s="18">
        <f>SetEnemyEasy!L19</f>
        <v>4</v>
      </c>
      <c r="G14" s="18">
        <f>SetEnemyEasy!M19</f>
        <v>5</v>
      </c>
      <c r="H14" s="18">
        <f>SetEnemyEasy!N19</f>
        <v>1</v>
      </c>
      <c r="I14" s="18">
        <f>SetEnemyEasy!O19</f>
        <v>1</v>
      </c>
      <c r="J14" s="18">
        <f>SetEnemyEasy!P19</f>
        <v>11</v>
      </c>
      <c r="K14" s="18">
        <f>SetEnemyEasy!R19</f>
        <v>0</v>
      </c>
      <c r="L14" s="18">
        <f>SetEnemyEasy!S19</f>
        <v>0</v>
      </c>
    </row>
    <row r="15" spans="1:12" x14ac:dyDescent="0.15">
      <c r="A15" s="17">
        <f>SetEnemyEasy!B20</f>
        <v>1300</v>
      </c>
      <c r="B15" s="17">
        <f>SetEnemyEasy!D20</f>
        <v>7</v>
      </c>
      <c r="C15" s="17">
        <f>SetEnemyEasy!F20</f>
        <v>6</v>
      </c>
      <c r="D15" s="17">
        <f>SetEnemyEasy!H20</f>
        <v>7</v>
      </c>
      <c r="E15" s="17">
        <f>SetEnemyEasy!J20</f>
        <v>5</v>
      </c>
      <c r="F15" s="17">
        <f>SetEnemyEasy!L20</f>
        <v>4</v>
      </c>
      <c r="G15" s="17">
        <f>SetEnemyEasy!M20</f>
        <v>5</v>
      </c>
      <c r="H15" s="17">
        <f>SetEnemyEasy!N20</f>
        <v>1</v>
      </c>
      <c r="I15" s="17">
        <f>SetEnemyEasy!O20</f>
        <v>1</v>
      </c>
      <c r="J15" s="17">
        <f>SetEnemyEasy!P20</f>
        <v>11</v>
      </c>
      <c r="K15" s="17">
        <f>SetEnemyEasy!R20</f>
        <v>0</v>
      </c>
      <c r="L15" s="17">
        <f>SetEnemyEasy!S20</f>
        <v>0</v>
      </c>
    </row>
    <row r="16" spans="1:12" x14ac:dyDescent="0.15">
      <c r="A16" s="18">
        <f>SetEnemyEasy!B21</f>
        <v>1350</v>
      </c>
      <c r="B16" s="18">
        <f>SetEnemyEasy!D21</f>
        <v>3</v>
      </c>
      <c r="C16" s="18">
        <f>SetEnemyEasy!F21</f>
        <v>1</v>
      </c>
      <c r="D16" s="18">
        <f>SetEnemyEasy!H21</f>
        <v>0</v>
      </c>
      <c r="E16" s="18">
        <f>SetEnemyEasy!J21</f>
        <v>0</v>
      </c>
      <c r="F16" s="18">
        <f>SetEnemyEasy!L21</f>
        <v>3</v>
      </c>
      <c r="G16" s="18">
        <f>SetEnemyEasy!M21</f>
        <v>7</v>
      </c>
      <c r="H16" s="18">
        <f>SetEnemyEasy!N21</f>
        <v>1</v>
      </c>
      <c r="I16" s="18">
        <f>SetEnemyEasy!O21</f>
        <v>1</v>
      </c>
      <c r="J16" s="18">
        <f>SetEnemyEasy!P21</f>
        <v>1</v>
      </c>
      <c r="K16" s="18">
        <f>SetEnemyEasy!R21</f>
        <v>0</v>
      </c>
      <c r="L16" s="18">
        <f>SetEnemyEasy!S21</f>
        <v>0</v>
      </c>
    </row>
    <row r="17" spans="1:12" x14ac:dyDescent="0.15">
      <c r="A17" s="17">
        <f>SetEnemyEasy!B22</f>
        <v>1400</v>
      </c>
      <c r="B17" s="17">
        <f>SetEnemyEasy!D22</f>
        <v>3</v>
      </c>
      <c r="C17" s="17">
        <f>SetEnemyEasy!F22</f>
        <v>1</v>
      </c>
      <c r="D17" s="17">
        <f>SetEnemyEasy!H22</f>
        <v>0</v>
      </c>
      <c r="E17" s="17">
        <f>SetEnemyEasy!J22</f>
        <v>0</v>
      </c>
      <c r="F17" s="17">
        <f>SetEnemyEasy!L22</f>
        <v>3</v>
      </c>
      <c r="G17" s="17">
        <f>SetEnemyEasy!M22</f>
        <v>7</v>
      </c>
      <c r="H17" s="17">
        <f>SetEnemyEasy!N22</f>
        <v>1</v>
      </c>
      <c r="I17" s="17">
        <f>SetEnemyEasy!O22</f>
        <v>1</v>
      </c>
      <c r="J17" s="17">
        <f>SetEnemyEasy!P22</f>
        <v>1</v>
      </c>
      <c r="K17" s="17">
        <f>SetEnemyEasy!R22</f>
        <v>0</v>
      </c>
      <c r="L17" s="17">
        <f>SetEnemyEasy!S22</f>
        <v>0</v>
      </c>
    </row>
    <row r="18" spans="1:12" x14ac:dyDescent="0.15">
      <c r="A18" s="18">
        <f>SetEnemyEasy!B23</f>
        <v>1450</v>
      </c>
      <c r="B18" s="18">
        <f>SetEnemyEasy!D23</f>
        <v>3</v>
      </c>
      <c r="C18" s="18">
        <f>SetEnemyEasy!F23</f>
        <v>1</v>
      </c>
      <c r="D18" s="18">
        <f>SetEnemyEasy!H23</f>
        <v>0</v>
      </c>
      <c r="E18" s="18">
        <f>SetEnemyEasy!J23</f>
        <v>0</v>
      </c>
      <c r="F18" s="18">
        <f>SetEnemyEasy!L23</f>
        <v>3</v>
      </c>
      <c r="G18" s="18">
        <f>SetEnemyEasy!M23</f>
        <v>7</v>
      </c>
      <c r="H18" s="18">
        <f>SetEnemyEasy!N23</f>
        <v>1</v>
      </c>
      <c r="I18" s="18">
        <f>SetEnemyEasy!O23</f>
        <v>1</v>
      </c>
      <c r="J18" s="18">
        <f>SetEnemyEasy!P23</f>
        <v>1</v>
      </c>
      <c r="K18" s="18">
        <f>SetEnemyEasy!R23</f>
        <v>0</v>
      </c>
      <c r="L18" s="18">
        <f>SetEnemyEasy!S23</f>
        <v>0</v>
      </c>
    </row>
    <row r="19" spans="1:12" x14ac:dyDescent="0.15">
      <c r="A19" s="17">
        <f>SetEnemyEasy!B24</f>
        <v>1550</v>
      </c>
      <c r="B19" s="17">
        <f>SetEnemyEasy!D24</f>
        <v>7</v>
      </c>
      <c r="C19" s="17">
        <f>SetEnemyEasy!F24</f>
        <v>4</v>
      </c>
      <c r="D19" s="17">
        <f>SetEnemyEasy!H24</f>
        <v>7</v>
      </c>
      <c r="E19" s="17">
        <f>SetEnemyEasy!J24</f>
        <v>5</v>
      </c>
      <c r="F19" s="17">
        <f>SetEnemyEasy!L24</f>
        <v>5</v>
      </c>
      <c r="G19" s="17">
        <f>SetEnemyEasy!M24</f>
        <v>5</v>
      </c>
      <c r="H19" s="17">
        <f>SetEnemyEasy!N24</f>
        <v>1</v>
      </c>
      <c r="I19" s="17">
        <f>SetEnemyEasy!O24</f>
        <v>1</v>
      </c>
      <c r="J19" s="17">
        <f>SetEnemyEasy!P24</f>
        <v>20</v>
      </c>
      <c r="K19" s="17">
        <f>SetEnemyEasy!R24</f>
        <v>0</v>
      </c>
      <c r="L19" s="17">
        <f>SetEnemyEasy!S24</f>
        <v>0</v>
      </c>
    </row>
    <row r="20" spans="1:12" x14ac:dyDescent="0.15">
      <c r="A20" s="18">
        <f>SetEnemyEasy!B25</f>
        <v>1650</v>
      </c>
      <c r="B20" s="18">
        <f>SetEnemyEasy!D25</f>
        <v>0</v>
      </c>
      <c r="C20" s="18">
        <f>SetEnemyEasy!F25</f>
        <v>7</v>
      </c>
      <c r="D20" s="18">
        <f>SetEnemyEasy!H25</f>
        <v>1</v>
      </c>
      <c r="E20" s="18">
        <f>SetEnemyEasy!J25</f>
        <v>0</v>
      </c>
      <c r="F20" s="18">
        <f>SetEnemyEasy!L25</f>
        <v>0</v>
      </c>
      <c r="G20" s="18">
        <f>SetEnemyEasy!M25</f>
        <v>7</v>
      </c>
      <c r="H20" s="18">
        <f>SetEnemyEasy!N25</f>
        <v>1</v>
      </c>
      <c r="I20" s="18">
        <f>SetEnemyEasy!O25</f>
        <v>1</v>
      </c>
      <c r="J20" s="18">
        <f>SetEnemyEasy!P25</f>
        <v>1</v>
      </c>
      <c r="K20" s="18">
        <f>SetEnemyEasy!R25</f>
        <v>0</v>
      </c>
      <c r="L20" s="18">
        <f>SetEnemyEasy!S25</f>
        <v>0</v>
      </c>
    </row>
    <row r="21" spans="1:12" x14ac:dyDescent="0.15">
      <c r="A21" s="17">
        <f>SetEnemyEasy!B26</f>
        <v>1700</v>
      </c>
      <c r="B21" s="17">
        <f>SetEnemyEasy!D26</f>
        <v>0</v>
      </c>
      <c r="C21" s="17">
        <f>SetEnemyEasy!F26</f>
        <v>7</v>
      </c>
      <c r="D21" s="17">
        <f>SetEnemyEasy!H26</f>
        <v>1</v>
      </c>
      <c r="E21" s="17">
        <f>SetEnemyEasy!J26</f>
        <v>0</v>
      </c>
      <c r="F21" s="17">
        <f>SetEnemyEasy!L26</f>
        <v>0</v>
      </c>
      <c r="G21" s="17">
        <f>SetEnemyEasy!M26</f>
        <v>7</v>
      </c>
      <c r="H21" s="17">
        <f>SetEnemyEasy!N26</f>
        <v>1</v>
      </c>
      <c r="I21" s="17">
        <f>SetEnemyEasy!O26</f>
        <v>1</v>
      </c>
      <c r="J21" s="17">
        <f>SetEnemyEasy!P26</f>
        <v>1</v>
      </c>
      <c r="K21" s="17">
        <f>SetEnemyEasy!R26</f>
        <v>0</v>
      </c>
      <c r="L21" s="17">
        <f>SetEnemyEasy!S26</f>
        <v>0</v>
      </c>
    </row>
    <row r="22" spans="1:12" x14ac:dyDescent="0.15">
      <c r="A22" s="18">
        <f>SetEnemyEasy!B27</f>
        <v>1750</v>
      </c>
      <c r="B22" s="18">
        <f>SetEnemyEasy!D27</f>
        <v>0</v>
      </c>
      <c r="C22" s="18">
        <f>SetEnemyEasy!F27</f>
        <v>7</v>
      </c>
      <c r="D22" s="18">
        <f>SetEnemyEasy!H27</f>
        <v>1</v>
      </c>
      <c r="E22" s="18">
        <f>SetEnemyEasy!J27</f>
        <v>0</v>
      </c>
      <c r="F22" s="18">
        <f>SetEnemyEasy!L27</f>
        <v>0</v>
      </c>
      <c r="G22" s="18">
        <f>SetEnemyEasy!M27</f>
        <v>7</v>
      </c>
      <c r="H22" s="18">
        <f>SetEnemyEasy!N27</f>
        <v>1</v>
      </c>
      <c r="I22" s="18">
        <f>SetEnemyEasy!O27</f>
        <v>1</v>
      </c>
      <c r="J22" s="18">
        <f>SetEnemyEasy!P27</f>
        <v>1</v>
      </c>
      <c r="K22" s="18">
        <f>SetEnemyEasy!R27</f>
        <v>0</v>
      </c>
      <c r="L22" s="18">
        <f>SetEnemyEasy!S27</f>
        <v>0</v>
      </c>
    </row>
    <row r="23" spans="1:12" x14ac:dyDescent="0.15">
      <c r="A23" s="17">
        <f>SetEnemyEasy!B28</f>
        <v>1900</v>
      </c>
      <c r="B23" s="17">
        <f>SetEnemyEasy!D28</f>
        <v>7</v>
      </c>
      <c r="C23" s="17">
        <f>SetEnemyEasy!F28</f>
        <v>4</v>
      </c>
      <c r="D23" s="17">
        <f>SetEnemyEasy!H28</f>
        <v>7</v>
      </c>
      <c r="E23" s="17">
        <f>SetEnemyEasy!J28</f>
        <v>6</v>
      </c>
      <c r="F23" s="17">
        <f>SetEnemyEasy!L28</f>
        <v>4</v>
      </c>
      <c r="G23" s="17">
        <f>SetEnemyEasy!M28</f>
        <v>5</v>
      </c>
      <c r="H23" s="17">
        <f>SetEnemyEasy!N28</f>
        <v>1</v>
      </c>
      <c r="I23" s="17">
        <f>SetEnemyEasy!O28</f>
        <v>1</v>
      </c>
      <c r="J23" s="17">
        <f>SetEnemyEasy!P28</f>
        <v>20</v>
      </c>
      <c r="K23" s="17">
        <f>SetEnemyEasy!R28</f>
        <v>0</v>
      </c>
      <c r="L23" s="17">
        <f>SetEnemyEasy!S28</f>
        <v>0</v>
      </c>
    </row>
    <row r="24" spans="1:12" x14ac:dyDescent="0.15">
      <c r="A24" s="18">
        <f>SetEnemyEasy!B29</f>
        <v>2000</v>
      </c>
      <c r="B24" s="18">
        <f>SetEnemyEasy!D29</f>
        <v>7</v>
      </c>
      <c r="C24" s="18">
        <f>SetEnemyEasy!F29</f>
        <v>6</v>
      </c>
      <c r="D24" s="18">
        <f>SetEnemyEasy!H29</f>
        <v>7</v>
      </c>
      <c r="E24" s="18">
        <f>SetEnemyEasy!J29</f>
        <v>6</v>
      </c>
      <c r="F24" s="18">
        <f>SetEnemyEasy!L29</f>
        <v>4</v>
      </c>
      <c r="G24" s="18">
        <f>SetEnemyEasy!M29</f>
        <v>5</v>
      </c>
      <c r="H24" s="18">
        <f>SetEnemyEasy!N29</f>
        <v>1</v>
      </c>
      <c r="I24" s="18">
        <f>SetEnemyEasy!O29</f>
        <v>1</v>
      </c>
      <c r="J24" s="18">
        <f>SetEnemyEasy!P29</f>
        <v>20</v>
      </c>
      <c r="K24" s="18">
        <f>SetEnemyEasy!R29</f>
        <v>0</v>
      </c>
      <c r="L24" s="18">
        <f>SetEnemyEasy!S29</f>
        <v>0</v>
      </c>
    </row>
    <row r="25" spans="1:12" x14ac:dyDescent="0.15">
      <c r="A25" s="17">
        <f>SetEnemyEasy!B30</f>
        <v>2100</v>
      </c>
      <c r="B25" s="17">
        <f>SetEnemyEasy!D30</f>
        <v>7</v>
      </c>
      <c r="C25" s="17">
        <f>SetEnemyEasy!F30</f>
        <v>2</v>
      </c>
      <c r="D25" s="17">
        <f>SetEnemyEasy!H30</f>
        <v>7</v>
      </c>
      <c r="E25" s="17">
        <f>SetEnemyEasy!J30</f>
        <v>6</v>
      </c>
      <c r="F25" s="17">
        <f>SetEnemyEasy!L30</f>
        <v>4</v>
      </c>
      <c r="G25" s="17">
        <f>SetEnemyEasy!M30</f>
        <v>5</v>
      </c>
      <c r="H25" s="17">
        <f>SetEnemyEasy!N30</f>
        <v>1</v>
      </c>
      <c r="I25" s="17">
        <f>SetEnemyEasy!O30</f>
        <v>1</v>
      </c>
      <c r="J25" s="17">
        <f>SetEnemyEasy!P30</f>
        <v>20</v>
      </c>
      <c r="K25" s="17">
        <f>SetEnemyEasy!R30</f>
        <v>0</v>
      </c>
      <c r="L25" s="17">
        <f>SetEnemyEasy!S30</f>
        <v>0</v>
      </c>
    </row>
    <row r="26" spans="1:12" x14ac:dyDescent="0.15">
      <c r="A26" s="18">
        <f>SetEnemyEasy!B31</f>
        <v>2250</v>
      </c>
      <c r="B26" s="18">
        <f>SetEnemyEasy!D31</f>
        <v>3</v>
      </c>
      <c r="C26" s="18">
        <f>SetEnemyEasy!F31</f>
        <v>1</v>
      </c>
      <c r="D26" s="18">
        <f>SetEnemyEasy!H31</f>
        <v>0</v>
      </c>
      <c r="E26" s="18">
        <f>SetEnemyEasy!J31</f>
        <v>0</v>
      </c>
      <c r="F26" s="18">
        <f>SetEnemyEasy!L31</f>
        <v>3</v>
      </c>
      <c r="G26" s="18">
        <f>SetEnemyEasy!M31</f>
        <v>7</v>
      </c>
      <c r="H26" s="18">
        <f>SetEnemyEasy!N31</f>
        <v>1</v>
      </c>
      <c r="I26" s="18">
        <f>SetEnemyEasy!O31</f>
        <v>1</v>
      </c>
      <c r="J26" s="18">
        <f>SetEnemyEasy!P31</f>
        <v>1</v>
      </c>
      <c r="K26" s="18">
        <f>SetEnemyEasy!R31</f>
        <v>0</v>
      </c>
      <c r="L26" s="18">
        <f>SetEnemyEasy!S31</f>
        <v>0</v>
      </c>
    </row>
    <row r="27" spans="1:12" x14ac:dyDescent="0.15">
      <c r="A27" s="17">
        <f>SetEnemyEasy!B32</f>
        <v>2300</v>
      </c>
      <c r="B27" s="17">
        <f>SetEnemyEasy!D32</f>
        <v>3</v>
      </c>
      <c r="C27" s="17">
        <f>SetEnemyEasy!F32</f>
        <v>1</v>
      </c>
      <c r="D27" s="17">
        <f>SetEnemyEasy!H32</f>
        <v>0</v>
      </c>
      <c r="E27" s="17">
        <f>SetEnemyEasy!J32</f>
        <v>0</v>
      </c>
      <c r="F27" s="17">
        <f>SetEnemyEasy!L32</f>
        <v>3</v>
      </c>
      <c r="G27" s="17">
        <f>SetEnemyEasy!M32</f>
        <v>7</v>
      </c>
      <c r="H27" s="17">
        <f>SetEnemyEasy!N32</f>
        <v>1</v>
      </c>
      <c r="I27" s="17">
        <f>SetEnemyEasy!O32</f>
        <v>1</v>
      </c>
      <c r="J27" s="17">
        <f>SetEnemyEasy!P32</f>
        <v>1</v>
      </c>
      <c r="K27" s="17">
        <f>SetEnemyEasy!R32</f>
        <v>0</v>
      </c>
      <c r="L27" s="17">
        <f>SetEnemyEasy!S32</f>
        <v>0</v>
      </c>
    </row>
    <row r="28" spans="1:12" x14ac:dyDescent="0.15">
      <c r="A28" s="18">
        <f>SetEnemyEasy!B33</f>
        <v>2350</v>
      </c>
      <c r="B28" s="18">
        <f>SetEnemyEasy!D33</f>
        <v>3</v>
      </c>
      <c r="C28" s="18">
        <f>SetEnemyEasy!F33</f>
        <v>1</v>
      </c>
      <c r="D28" s="18">
        <f>SetEnemyEasy!H33</f>
        <v>0</v>
      </c>
      <c r="E28" s="18">
        <f>SetEnemyEasy!J33</f>
        <v>0</v>
      </c>
      <c r="F28" s="18">
        <f>SetEnemyEasy!L33</f>
        <v>3</v>
      </c>
      <c r="G28" s="18">
        <f>SetEnemyEasy!M33</f>
        <v>7</v>
      </c>
      <c r="H28" s="18">
        <f>SetEnemyEasy!N33</f>
        <v>1</v>
      </c>
      <c r="I28" s="18">
        <f>SetEnemyEasy!O33</f>
        <v>1</v>
      </c>
      <c r="J28" s="18">
        <f>SetEnemyEasy!P33</f>
        <v>1</v>
      </c>
      <c r="K28" s="18">
        <f>SetEnemyEasy!R33</f>
        <v>0</v>
      </c>
      <c r="L28" s="18">
        <f>SetEnemyEasy!S33</f>
        <v>0</v>
      </c>
    </row>
    <row r="29" spans="1:12" x14ac:dyDescent="0.15">
      <c r="A29" s="17">
        <f>SetEnemyEasy!B34</f>
        <v>2350</v>
      </c>
      <c r="B29" s="17">
        <f>SetEnemyEasy!D34</f>
        <v>4</v>
      </c>
      <c r="C29" s="17">
        <f>SetEnemyEasy!F34</f>
        <v>7</v>
      </c>
      <c r="D29" s="17">
        <f>SetEnemyEasy!H34</f>
        <v>2</v>
      </c>
      <c r="E29" s="17">
        <f>SetEnemyEasy!J34</f>
        <v>0</v>
      </c>
      <c r="F29" s="17">
        <f>SetEnemyEasy!L34</f>
        <v>4</v>
      </c>
      <c r="G29" s="17">
        <f>SetEnemyEasy!M34</f>
        <v>7</v>
      </c>
      <c r="H29" s="17">
        <f>SetEnemyEasy!N34</f>
        <v>1</v>
      </c>
      <c r="I29" s="17">
        <f>SetEnemyEasy!O34</f>
        <v>1</v>
      </c>
      <c r="J29" s="17">
        <f>SetEnemyEasy!P34</f>
        <v>1</v>
      </c>
      <c r="K29" s="17">
        <f>SetEnemyEasy!R34</f>
        <v>0</v>
      </c>
      <c r="L29" s="17">
        <f>SetEnemyEasy!S34</f>
        <v>0</v>
      </c>
    </row>
    <row r="30" spans="1:12" x14ac:dyDescent="0.15">
      <c r="A30" s="18">
        <f>SetEnemyEasy!B35</f>
        <v>2400</v>
      </c>
      <c r="B30" s="18">
        <f>SetEnemyEasy!D35</f>
        <v>4</v>
      </c>
      <c r="C30" s="18">
        <f>SetEnemyEasy!F35</f>
        <v>7</v>
      </c>
      <c r="D30" s="18">
        <f>SetEnemyEasy!H35</f>
        <v>2</v>
      </c>
      <c r="E30" s="18">
        <f>SetEnemyEasy!J35</f>
        <v>0</v>
      </c>
      <c r="F30" s="18">
        <f>SetEnemyEasy!L35</f>
        <v>4</v>
      </c>
      <c r="G30" s="18">
        <f>SetEnemyEasy!M35</f>
        <v>7</v>
      </c>
      <c r="H30" s="18">
        <f>SetEnemyEasy!N35</f>
        <v>1</v>
      </c>
      <c r="I30" s="18">
        <f>SetEnemyEasy!O35</f>
        <v>1</v>
      </c>
      <c r="J30" s="18">
        <f>SetEnemyEasy!P35</f>
        <v>1</v>
      </c>
      <c r="K30" s="18">
        <f>SetEnemyEasy!R35</f>
        <v>0</v>
      </c>
      <c r="L30" s="18">
        <f>SetEnemyEasy!S35</f>
        <v>0</v>
      </c>
    </row>
    <row r="31" spans="1:12" x14ac:dyDescent="0.15">
      <c r="A31" s="17">
        <f>SetEnemyEasy!B36</f>
        <v>2450</v>
      </c>
      <c r="B31" s="17">
        <f>SetEnemyEasy!D36</f>
        <v>4</v>
      </c>
      <c r="C31" s="17">
        <f>SetEnemyEasy!F36</f>
        <v>7</v>
      </c>
      <c r="D31" s="17">
        <f>SetEnemyEasy!H36</f>
        <v>2</v>
      </c>
      <c r="E31" s="17">
        <f>SetEnemyEasy!J36</f>
        <v>0</v>
      </c>
      <c r="F31" s="17">
        <f>SetEnemyEasy!L36</f>
        <v>4</v>
      </c>
      <c r="G31" s="17">
        <f>SetEnemyEasy!M36</f>
        <v>7</v>
      </c>
      <c r="H31" s="17">
        <f>SetEnemyEasy!N36</f>
        <v>1</v>
      </c>
      <c r="I31" s="17">
        <f>SetEnemyEasy!O36</f>
        <v>1</v>
      </c>
      <c r="J31" s="17">
        <f>SetEnemyEasy!P36</f>
        <v>1</v>
      </c>
      <c r="K31" s="17">
        <f>SetEnemyEasy!R36</f>
        <v>0</v>
      </c>
      <c r="L31" s="17">
        <f>SetEnemyEasy!S36</f>
        <v>0</v>
      </c>
    </row>
    <row r="32" spans="1:12" x14ac:dyDescent="0.15">
      <c r="A32" s="18">
        <f>SetEnemyEasy!B37</f>
        <v>2650</v>
      </c>
      <c r="B32" s="18">
        <f>SetEnemyEasy!D37</f>
        <v>2</v>
      </c>
      <c r="C32" s="18">
        <f>SetEnemyEasy!F37</f>
        <v>2</v>
      </c>
      <c r="D32" s="18">
        <f>SetEnemyEasy!H37</f>
        <v>2</v>
      </c>
      <c r="E32" s="18">
        <f>SetEnemyEasy!J37</f>
        <v>0</v>
      </c>
      <c r="F32" s="18">
        <f>SetEnemyEasy!L37</f>
        <v>2</v>
      </c>
      <c r="G32" s="18">
        <f>SetEnemyEasy!M37</f>
        <v>7</v>
      </c>
      <c r="H32" s="18">
        <f>SetEnemyEasy!N37</f>
        <v>1</v>
      </c>
      <c r="I32" s="18">
        <f>SetEnemyEasy!O37</f>
        <v>1</v>
      </c>
      <c r="J32" s="18">
        <f>SetEnemyEasy!P37</f>
        <v>1</v>
      </c>
      <c r="K32" s="18">
        <f>SetEnemyEasy!R37</f>
        <v>0</v>
      </c>
      <c r="L32" s="18">
        <f>SetEnemyEasy!S37</f>
        <v>0</v>
      </c>
    </row>
    <row r="33" spans="1:12" x14ac:dyDescent="0.15">
      <c r="A33" s="17">
        <f>SetEnemyEasy!B38</f>
        <v>2700</v>
      </c>
      <c r="B33" s="17">
        <f>SetEnemyEasy!D38</f>
        <v>2</v>
      </c>
      <c r="C33" s="17">
        <f>SetEnemyEasy!F38</f>
        <v>2</v>
      </c>
      <c r="D33" s="17">
        <f>SetEnemyEasy!H38</f>
        <v>2</v>
      </c>
      <c r="E33" s="17">
        <f>SetEnemyEasy!J38</f>
        <v>0</v>
      </c>
      <c r="F33" s="17">
        <f>SetEnemyEasy!L38</f>
        <v>2</v>
      </c>
      <c r="G33" s="17">
        <f>SetEnemyEasy!M38</f>
        <v>7</v>
      </c>
      <c r="H33" s="17">
        <f>SetEnemyEasy!N38</f>
        <v>1</v>
      </c>
      <c r="I33" s="17">
        <f>SetEnemyEasy!O38</f>
        <v>1</v>
      </c>
      <c r="J33" s="17">
        <f>SetEnemyEasy!P38</f>
        <v>1</v>
      </c>
      <c r="K33" s="17">
        <f>SetEnemyEasy!R38</f>
        <v>0</v>
      </c>
      <c r="L33" s="17">
        <f>SetEnemyEasy!S38</f>
        <v>0</v>
      </c>
    </row>
    <row r="34" spans="1:12" x14ac:dyDescent="0.15">
      <c r="A34" s="18">
        <f>SetEnemyEasy!B39</f>
        <v>2750</v>
      </c>
      <c r="B34" s="18">
        <f>SetEnemyEasy!D39</f>
        <v>2</v>
      </c>
      <c r="C34" s="18">
        <f>SetEnemyEasy!F39</f>
        <v>2</v>
      </c>
      <c r="D34" s="18">
        <f>SetEnemyEasy!H39</f>
        <v>2</v>
      </c>
      <c r="E34" s="18">
        <f>SetEnemyEasy!J39</f>
        <v>0</v>
      </c>
      <c r="F34" s="18">
        <f>SetEnemyEasy!L39</f>
        <v>2</v>
      </c>
      <c r="G34" s="18">
        <f>SetEnemyEasy!M39</f>
        <v>7</v>
      </c>
      <c r="H34" s="18">
        <f>SetEnemyEasy!N39</f>
        <v>1</v>
      </c>
      <c r="I34" s="18">
        <f>SetEnemyEasy!O39</f>
        <v>1</v>
      </c>
      <c r="J34" s="18">
        <f>SetEnemyEasy!P39</f>
        <v>1</v>
      </c>
      <c r="K34" s="18">
        <f>SetEnemyEasy!R39</f>
        <v>0</v>
      </c>
      <c r="L34" s="18">
        <f>SetEnemyEasy!S39</f>
        <v>0</v>
      </c>
    </row>
    <row r="35" spans="1:12" x14ac:dyDescent="0.15">
      <c r="A35" s="17">
        <f>SetEnemyEasy!B40</f>
        <v>2900</v>
      </c>
      <c r="B35" s="17">
        <f>SetEnemyEasy!D40</f>
        <v>8</v>
      </c>
      <c r="C35" s="17">
        <f>SetEnemyEasy!F40</f>
        <v>7</v>
      </c>
      <c r="D35" s="17">
        <f>SetEnemyEasy!H40</f>
        <v>8</v>
      </c>
      <c r="E35" s="17">
        <f>SetEnemyEasy!J40</f>
        <v>1</v>
      </c>
      <c r="F35" s="17">
        <f>SetEnemyEasy!L40</f>
        <v>25</v>
      </c>
      <c r="G35" s="17">
        <f>SetEnemyEasy!M40</f>
        <v>5</v>
      </c>
      <c r="H35" s="17">
        <f>SetEnemyEasy!N40</f>
        <v>20</v>
      </c>
      <c r="I35" s="17">
        <f>SetEnemyEasy!O40</f>
        <v>0</v>
      </c>
      <c r="J35" s="17">
        <f>SetEnemyEasy!P40</f>
        <v>20</v>
      </c>
      <c r="K35" s="17">
        <f>SetEnemyEasy!R40</f>
        <v>0</v>
      </c>
      <c r="L35" s="17">
        <f>SetEnemyEasy!S40</f>
        <v>0</v>
      </c>
    </row>
    <row r="36" spans="1:12" x14ac:dyDescent="0.15">
      <c r="A36" s="18">
        <f>SetEnemyEasy!B41</f>
        <v>2950</v>
      </c>
      <c r="B36" s="18">
        <f>SetEnemyEasy!D41</f>
        <v>0</v>
      </c>
      <c r="C36" s="18">
        <f>SetEnemyEasy!F41</f>
        <v>2</v>
      </c>
      <c r="D36" s="18">
        <f>SetEnemyEasy!H41</f>
        <v>4</v>
      </c>
      <c r="E36" s="18">
        <f>SetEnemyEasy!J41</f>
        <v>0</v>
      </c>
      <c r="F36" s="18">
        <f>SetEnemyEasy!L41</f>
        <v>0</v>
      </c>
      <c r="G36" s="18">
        <f>SetEnemyEasy!M41</f>
        <v>7</v>
      </c>
      <c r="H36" s="18">
        <f>SetEnemyEasy!N41</f>
        <v>1</v>
      </c>
      <c r="I36" s="18">
        <f>SetEnemyEasy!O41</f>
        <v>1</v>
      </c>
      <c r="J36" s="18">
        <f>SetEnemyEasy!P41</f>
        <v>1</v>
      </c>
      <c r="K36" s="18">
        <f>SetEnemyEasy!R41</f>
        <v>0</v>
      </c>
      <c r="L36" s="18">
        <f>SetEnemyEasy!S41</f>
        <v>0</v>
      </c>
    </row>
    <row r="37" spans="1:12" x14ac:dyDescent="0.15">
      <c r="A37" s="17">
        <f>SetEnemyEasy!B42</f>
        <v>3000</v>
      </c>
      <c r="B37" s="17">
        <f>SetEnemyEasy!D42</f>
        <v>8</v>
      </c>
      <c r="C37" s="17">
        <f>SetEnemyEasy!F42</f>
        <v>1</v>
      </c>
      <c r="D37" s="17">
        <f>SetEnemyEasy!H42</f>
        <v>8</v>
      </c>
      <c r="E37" s="17">
        <f>SetEnemyEasy!J42</f>
        <v>1</v>
      </c>
      <c r="F37" s="17">
        <f>SetEnemyEasy!L42</f>
        <v>25</v>
      </c>
      <c r="G37" s="17">
        <f>SetEnemyEasy!M42</f>
        <v>5</v>
      </c>
      <c r="H37" s="17">
        <f>SetEnemyEasy!N42</f>
        <v>20</v>
      </c>
      <c r="I37" s="17">
        <f>SetEnemyEasy!O42</f>
        <v>0</v>
      </c>
      <c r="J37" s="17">
        <f>SetEnemyEasy!P42</f>
        <v>20</v>
      </c>
      <c r="K37" s="17">
        <f>SetEnemyEasy!R42</f>
        <v>0</v>
      </c>
      <c r="L37" s="17">
        <f>SetEnemyEasy!S42</f>
        <v>0</v>
      </c>
    </row>
    <row r="38" spans="1:12" x14ac:dyDescent="0.15">
      <c r="A38" s="18">
        <f>SetEnemyEasy!B43</f>
        <v>3000</v>
      </c>
      <c r="B38" s="18">
        <f>SetEnemyEasy!D43</f>
        <v>0</v>
      </c>
      <c r="C38" s="18">
        <f>SetEnemyEasy!F43</f>
        <v>2</v>
      </c>
      <c r="D38" s="18">
        <f>SetEnemyEasy!H43</f>
        <v>4</v>
      </c>
      <c r="E38" s="18">
        <f>SetEnemyEasy!J43</f>
        <v>0</v>
      </c>
      <c r="F38" s="18">
        <f>SetEnemyEasy!L43</f>
        <v>0</v>
      </c>
      <c r="G38" s="18">
        <f>SetEnemyEasy!M43</f>
        <v>7</v>
      </c>
      <c r="H38" s="18">
        <f>SetEnemyEasy!N43</f>
        <v>1</v>
      </c>
      <c r="I38" s="18">
        <f>SetEnemyEasy!O43</f>
        <v>1</v>
      </c>
      <c r="J38" s="18">
        <f>SetEnemyEasy!P43</f>
        <v>1</v>
      </c>
      <c r="K38" s="18">
        <f>SetEnemyEasy!R43</f>
        <v>0</v>
      </c>
      <c r="L38" s="18">
        <f>SetEnemyEasy!S43</f>
        <v>0</v>
      </c>
    </row>
    <row r="39" spans="1:12" x14ac:dyDescent="0.15">
      <c r="A39" s="17">
        <f>SetEnemyEasy!B44</f>
        <v>3050</v>
      </c>
      <c r="B39" s="17">
        <f>SetEnemyEasy!D44</f>
        <v>0</v>
      </c>
      <c r="C39" s="17">
        <f>SetEnemyEasy!F44</f>
        <v>2</v>
      </c>
      <c r="D39" s="17">
        <f>SetEnemyEasy!H44</f>
        <v>4</v>
      </c>
      <c r="E39" s="17">
        <f>SetEnemyEasy!J44</f>
        <v>0</v>
      </c>
      <c r="F39" s="17">
        <f>SetEnemyEasy!L44</f>
        <v>0</v>
      </c>
      <c r="G39" s="17">
        <f>SetEnemyEasy!M44</f>
        <v>7</v>
      </c>
      <c r="H39" s="17">
        <f>SetEnemyEasy!N44</f>
        <v>1</v>
      </c>
      <c r="I39" s="17">
        <f>SetEnemyEasy!O44</f>
        <v>1</v>
      </c>
      <c r="J39" s="17">
        <f>SetEnemyEasy!P44</f>
        <v>1</v>
      </c>
      <c r="K39" s="17">
        <f>SetEnemyEasy!R44</f>
        <v>0</v>
      </c>
      <c r="L39" s="17">
        <f>SetEnemyEasy!S44</f>
        <v>0</v>
      </c>
    </row>
    <row r="40" spans="1:12" x14ac:dyDescent="0.15">
      <c r="A40" s="18">
        <f>SetEnemyEasy!B45</f>
        <v>3100</v>
      </c>
      <c r="B40" s="18">
        <f>SetEnemyEasy!D45</f>
        <v>8</v>
      </c>
      <c r="C40" s="18">
        <f>SetEnemyEasy!F45</f>
        <v>4</v>
      </c>
      <c r="D40" s="18">
        <f>SetEnemyEasy!H45</f>
        <v>8</v>
      </c>
      <c r="E40" s="18">
        <f>SetEnemyEasy!J45</f>
        <v>1</v>
      </c>
      <c r="F40" s="18">
        <f>SetEnemyEasy!L45</f>
        <v>25</v>
      </c>
      <c r="G40" s="18">
        <f>SetEnemyEasy!M45</f>
        <v>5</v>
      </c>
      <c r="H40" s="18">
        <f>SetEnemyEasy!N45</f>
        <v>20</v>
      </c>
      <c r="I40" s="18">
        <f>SetEnemyEasy!O45</f>
        <v>0</v>
      </c>
      <c r="J40" s="18">
        <f>SetEnemyEasy!P45</f>
        <v>20</v>
      </c>
      <c r="K40" s="18">
        <f>SetEnemyEasy!R45</f>
        <v>0</v>
      </c>
      <c r="L40" s="18">
        <f>SetEnemyEasy!S45</f>
        <v>0</v>
      </c>
    </row>
    <row r="41" spans="1:12" x14ac:dyDescent="0.15">
      <c r="A41" s="17">
        <f>SetEnemyEasy!B46</f>
        <v>3150</v>
      </c>
      <c r="B41" s="17">
        <f>SetEnemyEasy!D46</f>
        <v>5</v>
      </c>
      <c r="C41" s="17">
        <f>SetEnemyEasy!F46</f>
        <v>4</v>
      </c>
      <c r="D41" s="17">
        <f>SetEnemyEasy!H46</f>
        <v>4</v>
      </c>
      <c r="E41" s="17">
        <f>SetEnemyEasy!J46</f>
        <v>0</v>
      </c>
      <c r="F41" s="17">
        <f>SetEnemyEasy!L46</f>
        <v>5</v>
      </c>
      <c r="G41" s="17">
        <f>SetEnemyEasy!M46</f>
        <v>7</v>
      </c>
      <c r="H41" s="17">
        <f>SetEnemyEasy!N46</f>
        <v>1</v>
      </c>
      <c r="I41" s="17">
        <f>SetEnemyEasy!O46</f>
        <v>1</v>
      </c>
      <c r="J41" s="17">
        <f>SetEnemyEasy!P46</f>
        <v>1</v>
      </c>
      <c r="K41" s="17">
        <f>SetEnemyEasy!R46</f>
        <v>0</v>
      </c>
      <c r="L41" s="17">
        <f>SetEnemyEasy!S46</f>
        <v>0</v>
      </c>
    </row>
    <row r="42" spans="1:12" x14ac:dyDescent="0.15">
      <c r="A42" s="18">
        <f>SetEnemyEasy!B47</f>
        <v>3200</v>
      </c>
      <c r="B42" s="18">
        <f>SetEnemyEasy!D47</f>
        <v>5</v>
      </c>
      <c r="C42" s="18">
        <f>SetEnemyEasy!F47</f>
        <v>4</v>
      </c>
      <c r="D42" s="18">
        <f>SetEnemyEasy!H47</f>
        <v>4</v>
      </c>
      <c r="E42" s="18">
        <f>SetEnemyEasy!J47</f>
        <v>0</v>
      </c>
      <c r="F42" s="18">
        <f>SetEnemyEasy!L47</f>
        <v>5</v>
      </c>
      <c r="G42" s="18">
        <f>SetEnemyEasy!M47</f>
        <v>7</v>
      </c>
      <c r="H42" s="18">
        <f>SetEnemyEasy!N47</f>
        <v>1</v>
      </c>
      <c r="I42" s="18">
        <f>SetEnemyEasy!O47</f>
        <v>1</v>
      </c>
      <c r="J42" s="18">
        <f>SetEnemyEasy!P47</f>
        <v>1</v>
      </c>
      <c r="K42" s="18">
        <f>SetEnemyEasy!R47</f>
        <v>0</v>
      </c>
      <c r="L42" s="18">
        <f>SetEnemyEasy!S47</f>
        <v>0</v>
      </c>
    </row>
    <row r="43" spans="1:12" x14ac:dyDescent="0.15">
      <c r="A43" s="17">
        <f>SetEnemyEasy!B48</f>
        <v>3250</v>
      </c>
      <c r="B43" s="17">
        <f>SetEnemyEasy!D48</f>
        <v>5</v>
      </c>
      <c r="C43" s="17">
        <f>SetEnemyEasy!F48</f>
        <v>4</v>
      </c>
      <c r="D43" s="17">
        <f>SetEnemyEasy!H48</f>
        <v>4</v>
      </c>
      <c r="E43" s="17">
        <f>SetEnemyEasy!J48</f>
        <v>0</v>
      </c>
      <c r="F43" s="17">
        <f>SetEnemyEasy!L48</f>
        <v>5</v>
      </c>
      <c r="G43" s="17">
        <f>SetEnemyEasy!M48</f>
        <v>7</v>
      </c>
      <c r="H43" s="17">
        <f>SetEnemyEasy!N48</f>
        <v>1</v>
      </c>
      <c r="I43" s="17">
        <f>SetEnemyEasy!O48</f>
        <v>1</v>
      </c>
      <c r="J43" s="17">
        <f>SetEnemyEasy!P48</f>
        <v>1</v>
      </c>
      <c r="K43" s="17">
        <f>SetEnemyEasy!R48</f>
        <v>0</v>
      </c>
      <c r="L43" s="17">
        <f>SetEnemyEasy!S48</f>
        <v>0</v>
      </c>
    </row>
    <row r="44" spans="1:12" x14ac:dyDescent="0.15">
      <c r="A44" s="18">
        <f>SetEnemyEasy!B49</f>
        <v>3550</v>
      </c>
      <c r="B44" s="18">
        <f>SetEnemyEasy!D49</f>
        <v>7</v>
      </c>
      <c r="C44" s="18">
        <f>SetEnemyEasy!F49</f>
        <v>4</v>
      </c>
      <c r="D44" s="18">
        <f>SetEnemyEasy!H49</f>
        <v>7</v>
      </c>
      <c r="E44" s="18">
        <f>SetEnemyEasy!J49</f>
        <v>5</v>
      </c>
      <c r="F44" s="18">
        <f>SetEnemyEasy!L49</f>
        <v>5</v>
      </c>
      <c r="G44" s="18">
        <f>SetEnemyEasy!M49</f>
        <v>5</v>
      </c>
      <c r="H44" s="18">
        <f>SetEnemyEasy!N49</f>
        <v>1</v>
      </c>
      <c r="I44" s="18">
        <f>SetEnemyEasy!O49</f>
        <v>1</v>
      </c>
      <c r="J44" s="18">
        <f>SetEnemyEasy!P49</f>
        <v>20</v>
      </c>
      <c r="K44" s="18">
        <f>SetEnemyEasy!R49</f>
        <v>0</v>
      </c>
      <c r="L44" s="18">
        <f>SetEnemyEasy!S49</f>
        <v>0</v>
      </c>
    </row>
    <row r="45" spans="1:12" x14ac:dyDescent="0.15">
      <c r="A45" s="17">
        <f>SetEnemyEasy!B50</f>
        <v>3550</v>
      </c>
      <c r="B45" s="17">
        <f>SetEnemyEasy!D50</f>
        <v>0</v>
      </c>
      <c r="C45" s="17">
        <f>SetEnemyEasy!F50</f>
        <v>7</v>
      </c>
      <c r="D45" s="17">
        <f>SetEnemyEasy!H50</f>
        <v>1</v>
      </c>
      <c r="E45" s="17">
        <f>SetEnemyEasy!J50</f>
        <v>0</v>
      </c>
      <c r="F45" s="17">
        <f>SetEnemyEasy!L50</f>
        <v>0</v>
      </c>
      <c r="G45" s="17">
        <f>SetEnemyEasy!M50</f>
        <v>7</v>
      </c>
      <c r="H45" s="17">
        <f>SetEnemyEasy!N50</f>
        <v>1</v>
      </c>
      <c r="I45" s="17">
        <f>SetEnemyEasy!O50</f>
        <v>1</v>
      </c>
      <c r="J45" s="17">
        <f>SetEnemyEasy!P50</f>
        <v>1</v>
      </c>
      <c r="K45" s="17">
        <f>SetEnemyEasy!R50</f>
        <v>0</v>
      </c>
      <c r="L45" s="17">
        <f>SetEnemyEasy!S50</f>
        <v>0</v>
      </c>
    </row>
    <row r="46" spans="1:12" x14ac:dyDescent="0.15">
      <c r="A46" s="18">
        <f>SetEnemyEasy!B51</f>
        <v>3600</v>
      </c>
      <c r="B46" s="18">
        <f>SetEnemyEasy!D51</f>
        <v>0</v>
      </c>
      <c r="C46" s="18">
        <f>SetEnemyEasy!F51</f>
        <v>7</v>
      </c>
      <c r="D46" s="18">
        <f>SetEnemyEasy!H51</f>
        <v>1</v>
      </c>
      <c r="E46" s="18">
        <f>SetEnemyEasy!J51</f>
        <v>0</v>
      </c>
      <c r="F46" s="18">
        <f>SetEnemyEasy!L51</f>
        <v>0</v>
      </c>
      <c r="G46" s="18">
        <f>SetEnemyEasy!M51</f>
        <v>7</v>
      </c>
      <c r="H46" s="18">
        <f>SetEnemyEasy!N51</f>
        <v>1</v>
      </c>
      <c r="I46" s="18">
        <f>SetEnemyEasy!O51</f>
        <v>1</v>
      </c>
      <c r="J46" s="18">
        <f>SetEnemyEasy!P51</f>
        <v>1</v>
      </c>
      <c r="K46" s="18">
        <f>SetEnemyEasy!R51</f>
        <v>0</v>
      </c>
      <c r="L46" s="18">
        <f>SetEnemyEasy!S51</f>
        <v>0</v>
      </c>
    </row>
    <row r="47" spans="1:12" x14ac:dyDescent="0.15">
      <c r="A47" s="17">
        <f>SetEnemyEasy!B52</f>
        <v>3650</v>
      </c>
      <c r="B47" s="17">
        <f>SetEnemyEasy!D52</f>
        <v>0</v>
      </c>
      <c r="C47" s="17">
        <f>SetEnemyEasy!F52</f>
        <v>7</v>
      </c>
      <c r="D47" s="17">
        <f>SetEnemyEasy!H52</f>
        <v>1</v>
      </c>
      <c r="E47" s="17">
        <f>SetEnemyEasy!J52</f>
        <v>0</v>
      </c>
      <c r="F47" s="17">
        <f>SetEnemyEasy!L52</f>
        <v>0</v>
      </c>
      <c r="G47" s="17">
        <f>SetEnemyEasy!M52</f>
        <v>7</v>
      </c>
      <c r="H47" s="17">
        <f>SetEnemyEasy!N52</f>
        <v>1</v>
      </c>
      <c r="I47" s="17">
        <f>SetEnemyEasy!O52</f>
        <v>1</v>
      </c>
      <c r="J47" s="17">
        <f>SetEnemyEasy!P52</f>
        <v>1</v>
      </c>
      <c r="K47" s="17">
        <f>SetEnemyEasy!R52</f>
        <v>0</v>
      </c>
      <c r="L47" s="17">
        <f>SetEnemyEasy!S52</f>
        <v>0</v>
      </c>
    </row>
    <row r="48" spans="1:12" x14ac:dyDescent="0.15">
      <c r="A48" s="18">
        <f>SetEnemyEasy!B53</f>
        <v>3750</v>
      </c>
      <c r="B48" s="18">
        <f>SetEnemyEasy!D53</f>
        <v>0</v>
      </c>
      <c r="C48" s="18">
        <f>SetEnemyEasy!F53</f>
        <v>7</v>
      </c>
      <c r="D48" s="18">
        <f>SetEnemyEasy!H53</f>
        <v>4</v>
      </c>
      <c r="E48" s="18">
        <f>SetEnemyEasy!J53</f>
        <v>0</v>
      </c>
      <c r="F48" s="18">
        <f>SetEnemyEasy!L53</f>
        <v>0</v>
      </c>
      <c r="G48" s="18">
        <f>SetEnemyEasy!M53</f>
        <v>7</v>
      </c>
      <c r="H48" s="18">
        <f>SetEnemyEasy!N53</f>
        <v>1</v>
      </c>
      <c r="I48" s="18">
        <f>SetEnemyEasy!O53</f>
        <v>1</v>
      </c>
      <c r="J48" s="18">
        <f>SetEnemyEasy!P53</f>
        <v>1</v>
      </c>
      <c r="K48" s="18">
        <f>SetEnemyEasy!R53</f>
        <v>0</v>
      </c>
      <c r="L48" s="18">
        <f>SetEnemyEasy!S53</f>
        <v>0</v>
      </c>
    </row>
    <row r="49" spans="1:12" x14ac:dyDescent="0.15">
      <c r="A49" s="17">
        <f>SetEnemyEasy!B54</f>
        <v>3800</v>
      </c>
      <c r="B49" s="17">
        <f>SetEnemyEasy!D54</f>
        <v>0</v>
      </c>
      <c r="C49" s="17">
        <f>SetEnemyEasy!F54</f>
        <v>7</v>
      </c>
      <c r="D49" s="17">
        <f>SetEnemyEasy!H54</f>
        <v>4</v>
      </c>
      <c r="E49" s="17">
        <f>SetEnemyEasy!J54</f>
        <v>0</v>
      </c>
      <c r="F49" s="17">
        <f>SetEnemyEasy!L54</f>
        <v>0</v>
      </c>
      <c r="G49" s="17">
        <f>SetEnemyEasy!M54</f>
        <v>7</v>
      </c>
      <c r="H49" s="17">
        <f>SetEnemyEasy!N54</f>
        <v>1</v>
      </c>
      <c r="I49" s="17">
        <f>SetEnemyEasy!O54</f>
        <v>1</v>
      </c>
      <c r="J49" s="17">
        <f>SetEnemyEasy!P54</f>
        <v>1</v>
      </c>
      <c r="K49" s="17">
        <f>SetEnemyEasy!R54</f>
        <v>0</v>
      </c>
      <c r="L49" s="17">
        <f>SetEnemyEasy!S54</f>
        <v>0</v>
      </c>
    </row>
    <row r="50" spans="1:12" x14ac:dyDescent="0.15">
      <c r="A50" s="18">
        <f>SetEnemyEasy!B55</f>
        <v>3800</v>
      </c>
      <c r="B50" s="18">
        <f>SetEnemyEasy!D55</f>
        <v>7</v>
      </c>
      <c r="C50" s="18">
        <f>SetEnemyEasy!F55</f>
        <v>4</v>
      </c>
      <c r="D50" s="18">
        <f>SetEnemyEasy!H55</f>
        <v>7</v>
      </c>
      <c r="E50" s="18">
        <f>SetEnemyEasy!J55</f>
        <v>5</v>
      </c>
      <c r="F50" s="18">
        <f>SetEnemyEasy!L55</f>
        <v>4</v>
      </c>
      <c r="G50" s="18">
        <f>SetEnemyEasy!M55</f>
        <v>5</v>
      </c>
      <c r="H50" s="18">
        <f>SetEnemyEasy!N55</f>
        <v>1</v>
      </c>
      <c r="I50" s="18">
        <f>SetEnemyEasy!O55</f>
        <v>1</v>
      </c>
      <c r="J50" s="18">
        <f>SetEnemyEasy!P55</f>
        <v>20</v>
      </c>
      <c r="K50" s="18">
        <f>SetEnemyEasy!R55</f>
        <v>0</v>
      </c>
      <c r="L50" s="18">
        <f>SetEnemyEasy!S55</f>
        <v>0</v>
      </c>
    </row>
    <row r="51" spans="1:12" x14ac:dyDescent="0.15">
      <c r="A51" s="17">
        <f>SetEnemyEasy!B56</f>
        <v>3850</v>
      </c>
      <c r="B51" s="17">
        <f>SetEnemyEasy!D56</f>
        <v>0</v>
      </c>
      <c r="C51" s="17">
        <f>SetEnemyEasy!F56</f>
        <v>7</v>
      </c>
      <c r="D51" s="17">
        <f>SetEnemyEasy!H56</f>
        <v>4</v>
      </c>
      <c r="E51" s="17">
        <f>SetEnemyEasy!J56</f>
        <v>0</v>
      </c>
      <c r="F51" s="17">
        <f>SetEnemyEasy!L56</f>
        <v>0</v>
      </c>
      <c r="G51" s="17">
        <f>SetEnemyEasy!M56</f>
        <v>7</v>
      </c>
      <c r="H51" s="17">
        <f>SetEnemyEasy!N56</f>
        <v>1</v>
      </c>
      <c r="I51" s="17">
        <f>SetEnemyEasy!O56</f>
        <v>1</v>
      </c>
      <c r="J51" s="17">
        <f>SetEnemyEasy!P56</f>
        <v>1</v>
      </c>
      <c r="K51" s="17">
        <f>SetEnemyEasy!R56</f>
        <v>0</v>
      </c>
      <c r="L51" s="17">
        <f>SetEnemyEasy!S56</f>
        <v>0</v>
      </c>
    </row>
    <row r="52" spans="1:12" x14ac:dyDescent="0.15">
      <c r="A52" s="18">
        <f>SetEnemyEasy!B57</f>
        <v>3900</v>
      </c>
      <c r="B52" s="18">
        <f>SetEnemyEasy!D57</f>
        <v>7</v>
      </c>
      <c r="C52" s="18">
        <f>SetEnemyEasy!F57</f>
        <v>2</v>
      </c>
      <c r="D52" s="18">
        <f>SetEnemyEasy!H57</f>
        <v>7</v>
      </c>
      <c r="E52" s="18">
        <f>SetEnemyEasy!J57</f>
        <v>5</v>
      </c>
      <c r="F52" s="18">
        <f>SetEnemyEasy!L57</f>
        <v>4</v>
      </c>
      <c r="G52" s="18">
        <f>SetEnemyEasy!M57</f>
        <v>5</v>
      </c>
      <c r="H52" s="18">
        <f>SetEnemyEasy!N57</f>
        <v>1</v>
      </c>
      <c r="I52" s="18">
        <f>SetEnemyEasy!O57</f>
        <v>1</v>
      </c>
      <c r="J52" s="18">
        <f>SetEnemyEasy!P57</f>
        <v>11</v>
      </c>
      <c r="K52" s="18">
        <f>SetEnemyEasy!R57</f>
        <v>0</v>
      </c>
      <c r="L52" s="18">
        <f>SetEnemyEasy!S57</f>
        <v>0</v>
      </c>
    </row>
    <row r="53" spans="1:12" x14ac:dyDescent="0.15">
      <c r="A53" s="17">
        <f>SetEnemyEasy!B58</f>
        <v>4000</v>
      </c>
      <c r="B53" s="17">
        <f>SetEnemyEasy!D58</f>
        <v>7</v>
      </c>
      <c r="C53" s="17">
        <f>SetEnemyEasy!F58</f>
        <v>6</v>
      </c>
      <c r="D53" s="17">
        <f>SetEnemyEasy!H58</f>
        <v>7</v>
      </c>
      <c r="E53" s="17">
        <f>SetEnemyEasy!J58</f>
        <v>5</v>
      </c>
      <c r="F53" s="17">
        <f>SetEnemyEasy!L58</f>
        <v>4</v>
      </c>
      <c r="G53" s="17">
        <f>SetEnemyEasy!M58</f>
        <v>5</v>
      </c>
      <c r="H53" s="17">
        <f>SetEnemyEasy!N58</f>
        <v>1</v>
      </c>
      <c r="I53" s="17">
        <f>SetEnemyEasy!O58</f>
        <v>1</v>
      </c>
      <c r="J53" s="17">
        <f>SetEnemyEasy!P58</f>
        <v>11</v>
      </c>
      <c r="K53" s="17">
        <f>SetEnemyEasy!R58</f>
        <v>0</v>
      </c>
      <c r="L53" s="17">
        <f>SetEnemyEasy!S58</f>
        <v>0</v>
      </c>
    </row>
    <row r="54" spans="1:12" x14ac:dyDescent="0.15">
      <c r="A54" s="18">
        <f>SetEnemyEasy!B59</f>
        <v>4150</v>
      </c>
      <c r="B54" s="18">
        <f>SetEnemyEasy!D59</f>
        <v>3</v>
      </c>
      <c r="C54" s="18">
        <f>SetEnemyEasy!F59</f>
        <v>1</v>
      </c>
      <c r="D54" s="18">
        <f>SetEnemyEasy!H59</f>
        <v>2</v>
      </c>
      <c r="E54" s="18">
        <f>SetEnemyEasy!J59</f>
        <v>0</v>
      </c>
      <c r="F54" s="18">
        <f>SetEnemyEasy!L59</f>
        <v>3</v>
      </c>
      <c r="G54" s="18">
        <f>SetEnemyEasy!M59</f>
        <v>7</v>
      </c>
      <c r="H54" s="18">
        <f>SetEnemyEasy!N59</f>
        <v>1</v>
      </c>
      <c r="I54" s="18">
        <f>SetEnemyEasy!O59</f>
        <v>1</v>
      </c>
      <c r="J54" s="18">
        <f>SetEnemyEasy!P59</f>
        <v>1</v>
      </c>
      <c r="K54" s="18">
        <f>SetEnemyEasy!R59</f>
        <v>0</v>
      </c>
      <c r="L54" s="18">
        <f>SetEnemyEasy!S59</f>
        <v>0</v>
      </c>
    </row>
    <row r="55" spans="1:12" x14ac:dyDescent="0.15">
      <c r="A55" s="17">
        <f>SetEnemyEasy!B60</f>
        <v>4200</v>
      </c>
      <c r="B55" s="17">
        <f>SetEnemyEasy!D60</f>
        <v>3</v>
      </c>
      <c r="C55" s="17">
        <f>SetEnemyEasy!F60</f>
        <v>1</v>
      </c>
      <c r="D55" s="17">
        <f>SetEnemyEasy!H60</f>
        <v>2</v>
      </c>
      <c r="E55" s="17">
        <f>SetEnemyEasy!J60</f>
        <v>0</v>
      </c>
      <c r="F55" s="17">
        <f>SetEnemyEasy!L60</f>
        <v>3</v>
      </c>
      <c r="G55" s="17">
        <f>SetEnemyEasy!M60</f>
        <v>7</v>
      </c>
      <c r="H55" s="17">
        <f>SetEnemyEasy!N60</f>
        <v>1</v>
      </c>
      <c r="I55" s="17">
        <f>SetEnemyEasy!O60</f>
        <v>1</v>
      </c>
      <c r="J55" s="17">
        <f>SetEnemyEasy!P60</f>
        <v>1</v>
      </c>
      <c r="K55" s="17">
        <f>SetEnemyEasy!R60</f>
        <v>0</v>
      </c>
      <c r="L55" s="17">
        <f>SetEnemyEasy!S60</f>
        <v>0</v>
      </c>
    </row>
    <row r="56" spans="1:12" x14ac:dyDescent="0.15">
      <c r="A56" s="18">
        <f>SetEnemyEasy!B61</f>
        <v>4250</v>
      </c>
      <c r="B56" s="18">
        <f>SetEnemyEasy!D61</f>
        <v>3</v>
      </c>
      <c r="C56" s="18">
        <f>SetEnemyEasy!F61</f>
        <v>1</v>
      </c>
      <c r="D56" s="18">
        <f>SetEnemyEasy!H61</f>
        <v>2</v>
      </c>
      <c r="E56" s="18">
        <f>SetEnemyEasy!J61</f>
        <v>0</v>
      </c>
      <c r="F56" s="18">
        <f>SetEnemyEasy!L61</f>
        <v>3</v>
      </c>
      <c r="G56" s="18">
        <f>SetEnemyEasy!M61</f>
        <v>7</v>
      </c>
      <c r="H56" s="18">
        <f>SetEnemyEasy!N61</f>
        <v>1</v>
      </c>
      <c r="I56" s="18">
        <f>SetEnemyEasy!O61</f>
        <v>1</v>
      </c>
      <c r="J56" s="18">
        <f>SetEnemyEasy!P61</f>
        <v>1</v>
      </c>
      <c r="K56" s="18">
        <f>SetEnemyEasy!R61</f>
        <v>0</v>
      </c>
      <c r="L56" s="18">
        <f>SetEnemyEasy!S61</f>
        <v>0</v>
      </c>
    </row>
    <row r="57" spans="1:12" x14ac:dyDescent="0.15">
      <c r="A57" s="17">
        <f>SetEnemyEasy!B62</f>
        <v>4350</v>
      </c>
      <c r="B57" s="17">
        <f>SetEnemyEasy!D62</f>
        <v>4</v>
      </c>
      <c r="C57" s="17">
        <f>SetEnemyEasy!F62</f>
        <v>7</v>
      </c>
      <c r="D57" s="17">
        <f>SetEnemyEasy!H62</f>
        <v>2</v>
      </c>
      <c r="E57" s="17">
        <f>SetEnemyEasy!J62</f>
        <v>0</v>
      </c>
      <c r="F57" s="17">
        <f>SetEnemyEasy!L62</f>
        <v>4</v>
      </c>
      <c r="G57" s="17">
        <f>SetEnemyEasy!M62</f>
        <v>7</v>
      </c>
      <c r="H57" s="17">
        <f>SetEnemyEasy!N62</f>
        <v>1</v>
      </c>
      <c r="I57" s="17">
        <f>SetEnemyEasy!O62</f>
        <v>1</v>
      </c>
      <c r="J57" s="17">
        <f>SetEnemyEasy!P62</f>
        <v>1</v>
      </c>
      <c r="K57" s="17">
        <f>SetEnemyEasy!R62</f>
        <v>0</v>
      </c>
      <c r="L57" s="17">
        <f>SetEnemyEasy!S62</f>
        <v>0</v>
      </c>
    </row>
    <row r="58" spans="1:12" x14ac:dyDescent="0.15">
      <c r="A58" s="18">
        <f>SetEnemyEasy!B63</f>
        <v>4400</v>
      </c>
      <c r="B58" s="18">
        <f>SetEnemyEasy!D63</f>
        <v>4</v>
      </c>
      <c r="C58" s="18">
        <f>SetEnemyEasy!F63</f>
        <v>7</v>
      </c>
      <c r="D58" s="18">
        <f>SetEnemyEasy!H63</f>
        <v>2</v>
      </c>
      <c r="E58" s="18">
        <f>SetEnemyEasy!J63</f>
        <v>0</v>
      </c>
      <c r="F58" s="18">
        <f>SetEnemyEasy!L63</f>
        <v>4</v>
      </c>
      <c r="G58" s="18">
        <f>SetEnemyEasy!M63</f>
        <v>7</v>
      </c>
      <c r="H58" s="18">
        <f>SetEnemyEasy!N63</f>
        <v>1</v>
      </c>
      <c r="I58" s="18">
        <f>SetEnemyEasy!O63</f>
        <v>1</v>
      </c>
      <c r="J58" s="18">
        <f>SetEnemyEasy!P63</f>
        <v>1</v>
      </c>
      <c r="K58" s="18">
        <f>SetEnemyEasy!R63</f>
        <v>0</v>
      </c>
      <c r="L58" s="18">
        <f>SetEnemyEasy!S63</f>
        <v>0</v>
      </c>
    </row>
    <row r="59" spans="1:12" x14ac:dyDescent="0.15">
      <c r="A59" s="17">
        <f>SetEnemyEasy!B64</f>
        <v>4450</v>
      </c>
      <c r="B59" s="17">
        <f>SetEnemyEasy!D64</f>
        <v>4</v>
      </c>
      <c r="C59" s="17">
        <f>SetEnemyEasy!F64</f>
        <v>7</v>
      </c>
      <c r="D59" s="17">
        <f>SetEnemyEasy!H64</f>
        <v>2</v>
      </c>
      <c r="E59" s="17">
        <f>SetEnemyEasy!J64</f>
        <v>0</v>
      </c>
      <c r="F59" s="17">
        <f>SetEnemyEasy!L64</f>
        <v>4</v>
      </c>
      <c r="G59" s="17">
        <f>SetEnemyEasy!M64</f>
        <v>7</v>
      </c>
      <c r="H59" s="17">
        <f>SetEnemyEasy!N64</f>
        <v>1</v>
      </c>
      <c r="I59" s="17">
        <f>SetEnemyEasy!O64</f>
        <v>1</v>
      </c>
      <c r="J59" s="17">
        <f>SetEnemyEasy!P64</f>
        <v>1</v>
      </c>
      <c r="K59" s="17">
        <f>SetEnemyEasy!R64</f>
        <v>0</v>
      </c>
      <c r="L59" s="17">
        <f>SetEnemyEasy!S64</f>
        <v>0</v>
      </c>
    </row>
    <row r="60" spans="1:12" x14ac:dyDescent="0.15">
      <c r="A60" s="18">
        <f>SetEnemyEasy!B65</f>
        <v>4550</v>
      </c>
      <c r="B60" s="18">
        <f>SetEnemyEasy!D65</f>
        <v>2</v>
      </c>
      <c r="C60" s="18">
        <f>SetEnemyEasy!F65</f>
        <v>2</v>
      </c>
      <c r="D60" s="18">
        <f>SetEnemyEasy!H65</f>
        <v>2</v>
      </c>
      <c r="E60" s="18">
        <f>SetEnemyEasy!J65</f>
        <v>0</v>
      </c>
      <c r="F60" s="18">
        <f>SetEnemyEasy!L65</f>
        <v>2</v>
      </c>
      <c r="G60" s="18">
        <f>SetEnemyEasy!M65</f>
        <v>7</v>
      </c>
      <c r="H60" s="18">
        <f>SetEnemyEasy!N65</f>
        <v>1</v>
      </c>
      <c r="I60" s="18">
        <f>SetEnemyEasy!O65</f>
        <v>1</v>
      </c>
      <c r="J60" s="18">
        <f>SetEnemyEasy!P65</f>
        <v>1</v>
      </c>
      <c r="K60" s="18">
        <f>SetEnemyEasy!R65</f>
        <v>0</v>
      </c>
      <c r="L60" s="18">
        <f>SetEnemyEasy!S65</f>
        <v>0</v>
      </c>
    </row>
    <row r="61" spans="1:12" x14ac:dyDescent="0.15">
      <c r="A61" s="17">
        <f>SetEnemyEasy!B66</f>
        <v>4600</v>
      </c>
      <c r="B61" s="17">
        <f>SetEnemyEasy!D66</f>
        <v>2</v>
      </c>
      <c r="C61" s="17">
        <f>SetEnemyEasy!F66</f>
        <v>2</v>
      </c>
      <c r="D61" s="17">
        <f>SetEnemyEasy!H66</f>
        <v>2</v>
      </c>
      <c r="E61" s="17">
        <f>SetEnemyEasy!J66</f>
        <v>0</v>
      </c>
      <c r="F61" s="17">
        <f>SetEnemyEasy!L66</f>
        <v>2</v>
      </c>
      <c r="G61" s="17">
        <f>SetEnemyEasy!M66</f>
        <v>7</v>
      </c>
      <c r="H61" s="17">
        <f>SetEnemyEasy!N66</f>
        <v>1</v>
      </c>
      <c r="I61" s="17">
        <f>SetEnemyEasy!O66</f>
        <v>1</v>
      </c>
      <c r="J61" s="17">
        <f>SetEnemyEasy!P66</f>
        <v>1</v>
      </c>
      <c r="K61" s="17">
        <f>SetEnemyEasy!R66</f>
        <v>0</v>
      </c>
      <c r="L61" s="17">
        <f>SetEnemyEasy!S66</f>
        <v>0</v>
      </c>
    </row>
    <row r="62" spans="1:12" x14ac:dyDescent="0.15">
      <c r="A62" s="18">
        <f>SetEnemyEasy!B67</f>
        <v>4650</v>
      </c>
      <c r="B62" s="18">
        <f>SetEnemyEasy!D67</f>
        <v>2</v>
      </c>
      <c r="C62" s="18">
        <f>SetEnemyEasy!F67</f>
        <v>2</v>
      </c>
      <c r="D62" s="18">
        <f>SetEnemyEasy!H67</f>
        <v>2</v>
      </c>
      <c r="E62" s="18">
        <f>SetEnemyEasy!J67</f>
        <v>0</v>
      </c>
      <c r="F62" s="18">
        <f>SetEnemyEasy!L67</f>
        <v>2</v>
      </c>
      <c r="G62" s="18">
        <f>SetEnemyEasy!M67</f>
        <v>7</v>
      </c>
      <c r="H62" s="18">
        <f>SetEnemyEasy!N67</f>
        <v>1</v>
      </c>
      <c r="I62" s="18">
        <f>SetEnemyEasy!O67</f>
        <v>1</v>
      </c>
      <c r="J62" s="18">
        <f>SetEnemyEasy!P67</f>
        <v>1</v>
      </c>
      <c r="K62" s="18">
        <f>SetEnemyEasy!R67</f>
        <v>0</v>
      </c>
      <c r="L62" s="18">
        <f>SetEnemyEasy!S67</f>
        <v>0</v>
      </c>
    </row>
    <row r="63" spans="1:12" x14ac:dyDescent="0.15">
      <c r="A63" s="17">
        <f>SetEnemyEasy!B68</f>
        <v>0</v>
      </c>
      <c r="B63" s="17">
        <f>SetEnemyEasy!D68</f>
        <v>0</v>
      </c>
      <c r="C63" s="17">
        <f>SetEnemyEasy!F68</f>
        <v>0</v>
      </c>
      <c r="D63" s="17">
        <f>SetEnemyEasy!H68</f>
        <v>0</v>
      </c>
      <c r="E63" s="17">
        <f>SetEnemyEasy!J68</f>
        <v>0</v>
      </c>
      <c r="F63" s="17">
        <f>SetEnemyEasy!L68</f>
        <v>0</v>
      </c>
      <c r="G63" s="17">
        <f>SetEnemyEasy!M68</f>
        <v>0</v>
      </c>
      <c r="H63" s="17">
        <f>SetEnemyEasy!N68</f>
        <v>0</v>
      </c>
      <c r="I63" s="17">
        <f>SetEnemyEasy!O68</f>
        <v>0</v>
      </c>
      <c r="J63" s="17">
        <f>SetEnemyEasy!P68</f>
        <v>0</v>
      </c>
      <c r="K63" s="17">
        <f>SetEnemyEasy!R68</f>
        <v>0</v>
      </c>
      <c r="L63" s="17">
        <f>SetEnemyEasy!S68</f>
        <v>0</v>
      </c>
    </row>
    <row r="64" spans="1:12" x14ac:dyDescent="0.15">
      <c r="A64" s="18">
        <f>SetEnemyEasy!B69</f>
        <v>0</v>
      </c>
      <c r="B64" s="18">
        <f>SetEnemyEasy!D69</f>
        <v>0</v>
      </c>
      <c r="C64" s="18">
        <f>SetEnemyEasy!F69</f>
        <v>0</v>
      </c>
      <c r="D64" s="18">
        <f>SetEnemyEasy!H69</f>
        <v>0</v>
      </c>
      <c r="E64" s="18">
        <f>SetEnemyEasy!J69</f>
        <v>0</v>
      </c>
      <c r="F64" s="18">
        <f>SetEnemyEasy!L69</f>
        <v>0</v>
      </c>
      <c r="G64" s="18">
        <f>SetEnemyEasy!M69</f>
        <v>0</v>
      </c>
      <c r="H64" s="18">
        <f>SetEnemyEasy!N69</f>
        <v>0</v>
      </c>
      <c r="I64" s="18">
        <f>SetEnemyEasy!O69</f>
        <v>0</v>
      </c>
      <c r="J64" s="18">
        <f>SetEnemyEasy!P69</f>
        <v>0</v>
      </c>
      <c r="K64" s="18">
        <f>SetEnemyEasy!R69</f>
        <v>0</v>
      </c>
      <c r="L64" s="18">
        <f>SetEnemyEasy!S69</f>
        <v>0</v>
      </c>
    </row>
    <row r="65" spans="1:12" x14ac:dyDescent="0.15">
      <c r="A65" s="17">
        <f>SetEnemyEasy!B70</f>
        <v>0</v>
      </c>
      <c r="B65" s="17">
        <f>SetEnemyEasy!D70</f>
        <v>0</v>
      </c>
      <c r="C65" s="17">
        <f>SetEnemyEasy!F70</f>
        <v>0</v>
      </c>
      <c r="D65" s="17">
        <f>SetEnemyEasy!H70</f>
        <v>0</v>
      </c>
      <c r="E65" s="17">
        <f>SetEnemyEasy!J70</f>
        <v>0</v>
      </c>
      <c r="F65" s="17">
        <f>SetEnemyEasy!L70</f>
        <v>0</v>
      </c>
      <c r="G65" s="17">
        <f>SetEnemyEasy!M70</f>
        <v>0</v>
      </c>
      <c r="H65" s="17">
        <f>SetEnemyEasy!N70</f>
        <v>0</v>
      </c>
      <c r="I65" s="17">
        <f>SetEnemyEasy!O70</f>
        <v>0</v>
      </c>
      <c r="J65" s="17">
        <f>SetEnemyEasy!P70</f>
        <v>0</v>
      </c>
      <c r="K65" s="17">
        <f>SetEnemyEasy!R70</f>
        <v>0</v>
      </c>
      <c r="L65" s="17">
        <f>SetEnemyEasy!S70</f>
        <v>0</v>
      </c>
    </row>
    <row r="66" spans="1:12" x14ac:dyDescent="0.15">
      <c r="A66" s="18">
        <f>SetEnemyEasy!B71</f>
        <v>0</v>
      </c>
      <c r="B66" s="18">
        <f>SetEnemyEasy!D71</f>
        <v>0</v>
      </c>
      <c r="C66" s="18">
        <f>SetEnemyEasy!F71</f>
        <v>0</v>
      </c>
      <c r="D66" s="18">
        <f>SetEnemyEasy!H71</f>
        <v>0</v>
      </c>
      <c r="E66" s="18">
        <f>SetEnemyEasy!J71</f>
        <v>0</v>
      </c>
      <c r="F66" s="18">
        <f>SetEnemyEasy!L71</f>
        <v>0</v>
      </c>
      <c r="G66" s="18">
        <f>SetEnemyEasy!M71</f>
        <v>0</v>
      </c>
      <c r="H66" s="18">
        <f>SetEnemyEasy!N71</f>
        <v>0</v>
      </c>
      <c r="I66" s="18">
        <f>SetEnemyEasy!O71</f>
        <v>0</v>
      </c>
      <c r="J66" s="18">
        <f>SetEnemyEasy!P71</f>
        <v>0</v>
      </c>
      <c r="K66" s="18">
        <f>SetEnemyEasy!R71</f>
        <v>0</v>
      </c>
      <c r="L66" s="18">
        <f>SetEnemyEasy!S71</f>
        <v>0</v>
      </c>
    </row>
    <row r="67" spans="1:12" x14ac:dyDescent="0.15">
      <c r="A67" s="17">
        <f>SetEnemyEasy!B72</f>
        <v>0</v>
      </c>
      <c r="B67" s="17">
        <f>SetEnemyEasy!D72</f>
        <v>0</v>
      </c>
      <c r="C67" s="17">
        <f>SetEnemyEasy!F72</f>
        <v>0</v>
      </c>
      <c r="D67" s="17">
        <f>SetEnemyEasy!H72</f>
        <v>0</v>
      </c>
      <c r="E67" s="17">
        <f>SetEnemyEasy!J72</f>
        <v>0</v>
      </c>
      <c r="F67" s="17">
        <f>SetEnemyEasy!L72</f>
        <v>0</v>
      </c>
      <c r="G67" s="17">
        <f>SetEnemyEasy!M72</f>
        <v>0</v>
      </c>
      <c r="H67" s="17">
        <f>SetEnemyEasy!N72</f>
        <v>0</v>
      </c>
      <c r="I67" s="17">
        <f>SetEnemyEasy!O72</f>
        <v>0</v>
      </c>
      <c r="J67" s="17">
        <f>SetEnemyEasy!P72</f>
        <v>0</v>
      </c>
      <c r="K67" s="17">
        <f>SetEnemyEasy!R72</f>
        <v>0</v>
      </c>
      <c r="L67" s="17">
        <f>SetEnemyEasy!S72</f>
        <v>0</v>
      </c>
    </row>
    <row r="68" spans="1:12" x14ac:dyDescent="0.15">
      <c r="A68" s="18">
        <f>SetEnemyEasy!B73</f>
        <v>0</v>
      </c>
      <c r="B68" s="18">
        <f>SetEnemyEasy!D73</f>
        <v>0</v>
      </c>
      <c r="C68" s="18">
        <f>SetEnemyEasy!F73</f>
        <v>0</v>
      </c>
      <c r="D68" s="18">
        <f>SetEnemyEasy!H73</f>
        <v>0</v>
      </c>
      <c r="E68" s="18">
        <f>SetEnemyEasy!J73</f>
        <v>0</v>
      </c>
      <c r="F68" s="18">
        <f>SetEnemyEasy!L73</f>
        <v>0</v>
      </c>
      <c r="G68" s="18">
        <f>SetEnemyEasy!M73</f>
        <v>0</v>
      </c>
      <c r="H68" s="18">
        <f>SetEnemyEasy!N73</f>
        <v>0</v>
      </c>
      <c r="I68" s="18">
        <f>SetEnemyEasy!O73</f>
        <v>0</v>
      </c>
      <c r="J68" s="18">
        <f>SetEnemyEasy!P73</f>
        <v>0</v>
      </c>
      <c r="K68" s="18">
        <f>SetEnemyEasy!R73</f>
        <v>0</v>
      </c>
      <c r="L68" s="18">
        <f>SetEnemyEasy!S73</f>
        <v>0</v>
      </c>
    </row>
    <row r="69" spans="1:12" x14ac:dyDescent="0.15">
      <c r="A69" s="17">
        <f>SetEnemyEasy!B74</f>
        <v>0</v>
      </c>
      <c r="B69" s="17">
        <f>SetEnemyEasy!D74</f>
        <v>0</v>
      </c>
      <c r="C69" s="17">
        <f>SetEnemyEasy!F74</f>
        <v>0</v>
      </c>
      <c r="D69" s="17">
        <f>SetEnemyEasy!H74</f>
        <v>0</v>
      </c>
      <c r="E69" s="17">
        <f>SetEnemyEasy!J74</f>
        <v>0</v>
      </c>
      <c r="F69" s="17">
        <f>SetEnemyEasy!L74</f>
        <v>0</v>
      </c>
      <c r="G69" s="17">
        <f>SetEnemyEasy!M74</f>
        <v>0</v>
      </c>
      <c r="H69" s="17">
        <f>SetEnemyEasy!N74</f>
        <v>0</v>
      </c>
      <c r="I69" s="17">
        <f>SetEnemyEasy!O74</f>
        <v>0</v>
      </c>
      <c r="J69" s="17">
        <f>SetEnemyEasy!P74</f>
        <v>0</v>
      </c>
      <c r="K69" s="17">
        <f>SetEnemyEasy!R74</f>
        <v>0</v>
      </c>
      <c r="L69" s="17">
        <f>SetEnemyEasy!S74</f>
        <v>0</v>
      </c>
    </row>
    <row r="70" spans="1:12" x14ac:dyDescent="0.15">
      <c r="A70" s="18">
        <f>SetEnemyEasy!B75</f>
        <v>0</v>
      </c>
      <c r="B70" s="18">
        <f>SetEnemyEasy!D75</f>
        <v>0</v>
      </c>
      <c r="C70" s="18">
        <f>SetEnemyEasy!F75</f>
        <v>0</v>
      </c>
      <c r="D70" s="18">
        <f>SetEnemyEasy!H75</f>
        <v>0</v>
      </c>
      <c r="E70" s="18">
        <f>SetEnemyEasy!J75</f>
        <v>0</v>
      </c>
      <c r="F70" s="18">
        <f>SetEnemyEasy!L75</f>
        <v>0</v>
      </c>
      <c r="G70" s="18">
        <f>SetEnemyEasy!M75</f>
        <v>0</v>
      </c>
      <c r="H70" s="18">
        <f>SetEnemyEasy!N75</f>
        <v>0</v>
      </c>
      <c r="I70" s="18">
        <f>SetEnemyEasy!O75</f>
        <v>0</v>
      </c>
      <c r="J70" s="18">
        <f>SetEnemyEasy!P75</f>
        <v>0</v>
      </c>
      <c r="K70" s="18">
        <f>SetEnemyEasy!R75</f>
        <v>0</v>
      </c>
      <c r="L70" s="18">
        <f>SetEnemyEasy!S75</f>
        <v>0</v>
      </c>
    </row>
    <row r="71" spans="1:12" x14ac:dyDescent="0.15">
      <c r="A71" s="17">
        <f>SetEnemyEasy!B76</f>
        <v>0</v>
      </c>
      <c r="B71" s="17">
        <f>SetEnemyEasy!D76</f>
        <v>0</v>
      </c>
      <c r="C71" s="17">
        <f>SetEnemyEasy!F76</f>
        <v>0</v>
      </c>
      <c r="D71" s="17">
        <f>SetEnemyEasy!H76</f>
        <v>0</v>
      </c>
      <c r="E71" s="17">
        <f>SetEnemyEasy!J76</f>
        <v>0</v>
      </c>
      <c r="F71" s="17">
        <f>SetEnemyEasy!L76</f>
        <v>0</v>
      </c>
      <c r="G71" s="17">
        <f>SetEnemyEasy!M76</f>
        <v>0</v>
      </c>
      <c r="H71" s="17">
        <f>SetEnemyEasy!N76</f>
        <v>0</v>
      </c>
      <c r="I71" s="17">
        <f>SetEnemyEasy!O76</f>
        <v>0</v>
      </c>
      <c r="J71" s="17">
        <f>SetEnemyEasy!P76</f>
        <v>0</v>
      </c>
      <c r="K71" s="17">
        <f>SetEnemyEasy!R76</f>
        <v>0</v>
      </c>
      <c r="L71" s="17">
        <f>SetEnemyEasy!S76</f>
        <v>0</v>
      </c>
    </row>
    <row r="72" spans="1:12" x14ac:dyDescent="0.15">
      <c r="A72" s="18">
        <f>SetEnemyEasy!B77</f>
        <v>0</v>
      </c>
      <c r="B72" s="18">
        <f>SetEnemyEasy!D77</f>
        <v>0</v>
      </c>
      <c r="C72" s="18">
        <f>SetEnemyEasy!F77</f>
        <v>0</v>
      </c>
      <c r="D72" s="18">
        <f>SetEnemyEasy!H77</f>
        <v>0</v>
      </c>
      <c r="E72" s="18">
        <f>SetEnemyEasy!J77</f>
        <v>0</v>
      </c>
      <c r="F72" s="18">
        <f>SetEnemyEasy!L77</f>
        <v>0</v>
      </c>
      <c r="G72" s="18">
        <f>SetEnemyEasy!M77</f>
        <v>0</v>
      </c>
      <c r="H72" s="18">
        <f>SetEnemyEasy!N77</f>
        <v>0</v>
      </c>
      <c r="I72" s="18">
        <f>SetEnemyEasy!O77</f>
        <v>0</v>
      </c>
      <c r="J72" s="18">
        <f>SetEnemyEasy!P77</f>
        <v>0</v>
      </c>
      <c r="K72" s="18">
        <f>SetEnemyEasy!R77</f>
        <v>0</v>
      </c>
      <c r="L72" s="18">
        <f>SetEnemyEasy!S77</f>
        <v>0</v>
      </c>
    </row>
    <row r="73" spans="1:12" x14ac:dyDescent="0.15">
      <c r="A73" s="17">
        <f>SetEnemyEasy!B78</f>
        <v>0</v>
      </c>
      <c r="B73" s="17">
        <f>SetEnemyEasy!D78</f>
        <v>0</v>
      </c>
      <c r="C73" s="17">
        <f>SetEnemyEasy!F78</f>
        <v>0</v>
      </c>
      <c r="D73" s="17">
        <f>SetEnemyEasy!H78</f>
        <v>0</v>
      </c>
      <c r="E73" s="17">
        <f>SetEnemyEasy!J78</f>
        <v>0</v>
      </c>
      <c r="F73" s="17">
        <f>SetEnemyEasy!L78</f>
        <v>0</v>
      </c>
      <c r="G73" s="17">
        <f>SetEnemyEasy!M78</f>
        <v>0</v>
      </c>
      <c r="H73" s="17">
        <f>SetEnemyEasy!N78</f>
        <v>0</v>
      </c>
      <c r="I73" s="17">
        <f>SetEnemyEasy!O78</f>
        <v>0</v>
      </c>
      <c r="J73" s="17">
        <f>SetEnemyEasy!P78</f>
        <v>0</v>
      </c>
      <c r="K73" s="17">
        <f>SetEnemyEasy!R78</f>
        <v>0</v>
      </c>
      <c r="L73" s="17">
        <f>SetEnemyEasy!S78</f>
        <v>0</v>
      </c>
    </row>
    <row r="74" spans="1:12" x14ac:dyDescent="0.15">
      <c r="A74" s="18">
        <f>SetEnemyEasy!B79</f>
        <v>0</v>
      </c>
      <c r="B74" s="18">
        <f>SetEnemyEasy!D79</f>
        <v>0</v>
      </c>
      <c r="C74" s="18">
        <f>SetEnemyEasy!F79</f>
        <v>0</v>
      </c>
      <c r="D74" s="18">
        <f>SetEnemyEasy!H79</f>
        <v>0</v>
      </c>
      <c r="E74" s="18">
        <f>SetEnemyEasy!J79</f>
        <v>0</v>
      </c>
      <c r="F74" s="18">
        <f>SetEnemyEasy!L79</f>
        <v>0</v>
      </c>
      <c r="G74" s="18">
        <f>SetEnemyEasy!M79</f>
        <v>0</v>
      </c>
      <c r="H74" s="18">
        <f>SetEnemyEasy!N79</f>
        <v>0</v>
      </c>
      <c r="I74" s="18">
        <f>SetEnemyEasy!O79</f>
        <v>0</v>
      </c>
      <c r="J74" s="18">
        <f>SetEnemyEasy!P79</f>
        <v>0</v>
      </c>
      <c r="K74" s="18">
        <f>SetEnemyEasy!R79</f>
        <v>0</v>
      </c>
      <c r="L74" s="18">
        <f>SetEnemyEasy!S79</f>
        <v>0</v>
      </c>
    </row>
    <row r="75" spans="1:12" x14ac:dyDescent="0.15">
      <c r="A75" s="17">
        <f>SetEnemyEasy!B80</f>
        <v>0</v>
      </c>
      <c r="B75" s="17">
        <f>SetEnemyEasy!D80</f>
        <v>0</v>
      </c>
      <c r="C75" s="17">
        <f>SetEnemyEasy!F80</f>
        <v>0</v>
      </c>
      <c r="D75" s="17">
        <f>SetEnemyEasy!H80</f>
        <v>0</v>
      </c>
      <c r="E75" s="17">
        <f>SetEnemyEasy!J80</f>
        <v>0</v>
      </c>
      <c r="F75" s="17">
        <f>SetEnemyEasy!L80</f>
        <v>0</v>
      </c>
      <c r="G75" s="17">
        <f>SetEnemyEasy!M80</f>
        <v>0</v>
      </c>
      <c r="H75" s="17">
        <f>SetEnemyEasy!N80</f>
        <v>0</v>
      </c>
      <c r="I75" s="17">
        <f>SetEnemyEasy!O80</f>
        <v>0</v>
      </c>
      <c r="J75" s="17">
        <f>SetEnemyEasy!P80</f>
        <v>0</v>
      </c>
      <c r="K75" s="17">
        <f>SetEnemyEasy!R80</f>
        <v>0</v>
      </c>
      <c r="L75" s="17">
        <f>SetEnemyEasy!S80</f>
        <v>0</v>
      </c>
    </row>
    <row r="76" spans="1:12" x14ac:dyDescent="0.15">
      <c r="A76" s="18">
        <f>SetEnemyEasy!B81</f>
        <v>0</v>
      </c>
      <c r="B76" s="18">
        <f>SetEnemyEasy!D81</f>
        <v>0</v>
      </c>
      <c r="C76" s="18">
        <f>SetEnemyEasy!F81</f>
        <v>0</v>
      </c>
      <c r="D76" s="18">
        <f>SetEnemyEasy!H81</f>
        <v>0</v>
      </c>
      <c r="E76" s="18">
        <f>SetEnemyEasy!J81</f>
        <v>0</v>
      </c>
      <c r="F76" s="18">
        <f>SetEnemyEasy!L81</f>
        <v>0</v>
      </c>
      <c r="G76" s="18">
        <f>SetEnemyEasy!M81</f>
        <v>0</v>
      </c>
      <c r="H76" s="18">
        <f>SetEnemyEasy!N81</f>
        <v>0</v>
      </c>
      <c r="I76" s="18">
        <f>SetEnemyEasy!O81</f>
        <v>0</v>
      </c>
      <c r="J76" s="18">
        <f>SetEnemyEasy!P81</f>
        <v>0</v>
      </c>
      <c r="K76" s="18">
        <f>SetEnemyEasy!R81</f>
        <v>0</v>
      </c>
      <c r="L76" s="18">
        <f>SetEnemyEasy!S81</f>
        <v>0</v>
      </c>
    </row>
    <row r="77" spans="1:12" x14ac:dyDescent="0.15">
      <c r="A77" s="17">
        <f>SetEnemyEasy!B82</f>
        <v>0</v>
      </c>
      <c r="B77" s="17">
        <f>SetEnemyEasy!D82</f>
        <v>0</v>
      </c>
      <c r="C77" s="17">
        <f>SetEnemyEasy!F82</f>
        <v>0</v>
      </c>
      <c r="D77" s="17">
        <f>SetEnemyEasy!H82</f>
        <v>0</v>
      </c>
      <c r="E77" s="17">
        <f>SetEnemyEasy!J82</f>
        <v>0</v>
      </c>
      <c r="F77" s="17">
        <f>SetEnemyEasy!L82</f>
        <v>0</v>
      </c>
      <c r="G77" s="17">
        <f>SetEnemyEasy!M82</f>
        <v>0</v>
      </c>
      <c r="H77" s="17">
        <f>SetEnemyEasy!N82</f>
        <v>0</v>
      </c>
      <c r="I77" s="17">
        <f>SetEnemyEasy!O82</f>
        <v>0</v>
      </c>
      <c r="J77" s="17">
        <f>SetEnemyEasy!P82</f>
        <v>0</v>
      </c>
      <c r="K77" s="17">
        <f>SetEnemyEasy!R82</f>
        <v>0</v>
      </c>
      <c r="L77" s="17">
        <f>SetEnemyEasy!S82</f>
        <v>0</v>
      </c>
    </row>
    <row r="78" spans="1:12" x14ac:dyDescent="0.15">
      <c r="A78" s="18">
        <f>SetEnemyEasy!B83</f>
        <v>0</v>
      </c>
      <c r="B78" s="18">
        <f>SetEnemyEasy!D83</f>
        <v>0</v>
      </c>
      <c r="C78" s="18">
        <f>SetEnemyEasy!F83</f>
        <v>0</v>
      </c>
      <c r="D78" s="18">
        <f>SetEnemyEasy!H83</f>
        <v>0</v>
      </c>
      <c r="E78" s="18">
        <f>SetEnemyEasy!J83</f>
        <v>0</v>
      </c>
      <c r="F78" s="18">
        <f>SetEnemyEasy!L83</f>
        <v>0</v>
      </c>
      <c r="G78" s="18">
        <f>SetEnemyEasy!M83</f>
        <v>0</v>
      </c>
      <c r="H78" s="18">
        <f>SetEnemyEasy!N83</f>
        <v>0</v>
      </c>
      <c r="I78" s="18">
        <f>SetEnemyEasy!O83</f>
        <v>0</v>
      </c>
      <c r="J78" s="18">
        <f>SetEnemyEasy!P83</f>
        <v>0</v>
      </c>
      <c r="K78" s="18">
        <f>SetEnemyEasy!R83</f>
        <v>0</v>
      </c>
      <c r="L78" s="18">
        <f>SetEnemyEasy!S83</f>
        <v>0</v>
      </c>
    </row>
    <row r="79" spans="1:12" x14ac:dyDescent="0.15">
      <c r="A79" s="17">
        <f>SetEnemyEasy!B84</f>
        <v>0</v>
      </c>
      <c r="B79" s="17">
        <f>SetEnemyEasy!D84</f>
        <v>0</v>
      </c>
      <c r="C79" s="17">
        <f>SetEnemyEasy!F84</f>
        <v>0</v>
      </c>
      <c r="D79" s="17">
        <f>SetEnemyEasy!H84</f>
        <v>0</v>
      </c>
      <c r="E79" s="17">
        <f>SetEnemyEasy!J84</f>
        <v>0</v>
      </c>
      <c r="F79" s="17">
        <f>SetEnemyEasy!L84</f>
        <v>0</v>
      </c>
      <c r="G79" s="17">
        <f>SetEnemyEasy!M84</f>
        <v>0</v>
      </c>
      <c r="H79" s="17">
        <f>SetEnemyEasy!N84</f>
        <v>0</v>
      </c>
      <c r="I79" s="17">
        <f>SetEnemyEasy!O84</f>
        <v>0</v>
      </c>
      <c r="J79" s="17">
        <f>SetEnemyEasy!P84</f>
        <v>0</v>
      </c>
      <c r="K79" s="17">
        <f>SetEnemyEasy!R84</f>
        <v>0</v>
      </c>
      <c r="L79" s="17">
        <f>SetEnemyEasy!S84</f>
        <v>0</v>
      </c>
    </row>
    <row r="80" spans="1:12" x14ac:dyDescent="0.15">
      <c r="A80" s="18">
        <f>SetEnemyEasy!B85</f>
        <v>0</v>
      </c>
      <c r="B80" s="18">
        <f>SetEnemyEasy!D85</f>
        <v>0</v>
      </c>
      <c r="C80" s="18">
        <f>SetEnemyEasy!F85</f>
        <v>0</v>
      </c>
      <c r="D80" s="18">
        <f>SetEnemyEasy!H85</f>
        <v>0</v>
      </c>
      <c r="E80" s="18">
        <f>SetEnemyEasy!J85</f>
        <v>0</v>
      </c>
      <c r="F80" s="18">
        <f>SetEnemyEasy!L85</f>
        <v>0</v>
      </c>
      <c r="G80" s="18">
        <f>SetEnemyEasy!M85</f>
        <v>0</v>
      </c>
      <c r="H80" s="18">
        <f>SetEnemyEasy!N85</f>
        <v>0</v>
      </c>
      <c r="I80" s="18">
        <f>SetEnemyEasy!O85</f>
        <v>0</v>
      </c>
      <c r="J80" s="18">
        <f>SetEnemyEasy!P85</f>
        <v>0</v>
      </c>
      <c r="K80" s="18">
        <f>SetEnemyEasy!R85</f>
        <v>0</v>
      </c>
      <c r="L80" s="18">
        <f>SetEnemyEasy!S85</f>
        <v>0</v>
      </c>
    </row>
    <row r="81" spans="1:12" x14ac:dyDescent="0.15">
      <c r="A81" s="17">
        <f>SetEnemyEasy!B86</f>
        <v>0</v>
      </c>
      <c r="B81" s="17">
        <f>SetEnemyEasy!D86</f>
        <v>0</v>
      </c>
      <c r="C81" s="17">
        <f>SetEnemyEasy!F86</f>
        <v>0</v>
      </c>
      <c r="D81" s="17">
        <f>SetEnemyEasy!H86</f>
        <v>0</v>
      </c>
      <c r="E81" s="17">
        <f>SetEnemyEasy!J86</f>
        <v>0</v>
      </c>
      <c r="F81" s="17">
        <f>SetEnemyEasy!L86</f>
        <v>0</v>
      </c>
      <c r="G81" s="17">
        <f>SetEnemyEasy!M86</f>
        <v>0</v>
      </c>
      <c r="H81" s="17">
        <f>SetEnemyEasy!N86</f>
        <v>0</v>
      </c>
      <c r="I81" s="17">
        <f>SetEnemyEasy!O86</f>
        <v>0</v>
      </c>
      <c r="J81" s="17">
        <f>SetEnemyEasy!P86</f>
        <v>0</v>
      </c>
      <c r="K81" s="17">
        <f>SetEnemyEasy!R86</f>
        <v>0</v>
      </c>
      <c r="L81" s="17">
        <f>SetEnemyEasy!S86</f>
        <v>0</v>
      </c>
    </row>
    <row r="82" spans="1:12" x14ac:dyDescent="0.15">
      <c r="A82" s="18">
        <f>SetEnemyEasy!B87</f>
        <v>0</v>
      </c>
      <c r="B82" s="18">
        <f>SetEnemyEasy!D87</f>
        <v>0</v>
      </c>
      <c r="C82" s="18">
        <f>SetEnemyEasy!F87</f>
        <v>0</v>
      </c>
      <c r="D82" s="18">
        <f>SetEnemyEasy!H87</f>
        <v>0</v>
      </c>
      <c r="E82" s="18">
        <f>SetEnemyEasy!J87</f>
        <v>0</v>
      </c>
      <c r="F82" s="18">
        <f>SetEnemyEasy!L87</f>
        <v>0</v>
      </c>
      <c r="G82" s="18">
        <f>SetEnemyEasy!M87</f>
        <v>0</v>
      </c>
      <c r="H82" s="18">
        <f>SetEnemyEasy!N87</f>
        <v>0</v>
      </c>
      <c r="I82" s="18">
        <f>SetEnemyEasy!O87</f>
        <v>0</v>
      </c>
      <c r="J82" s="18">
        <f>SetEnemyEasy!P87</f>
        <v>0</v>
      </c>
      <c r="K82" s="18">
        <f>SetEnemyEasy!R87</f>
        <v>0</v>
      </c>
      <c r="L82" s="18">
        <f>SetEnemyEasy!S87</f>
        <v>0</v>
      </c>
    </row>
    <row r="83" spans="1:12" x14ac:dyDescent="0.15">
      <c r="A83" s="17">
        <f>SetEnemyEasy!B88</f>
        <v>0</v>
      </c>
      <c r="B83" s="17">
        <f>SetEnemyEasy!D88</f>
        <v>0</v>
      </c>
      <c r="C83" s="17">
        <f>SetEnemyEasy!F88</f>
        <v>0</v>
      </c>
      <c r="D83" s="17">
        <f>SetEnemyEasy!H88</f>
        <v>0</v>
      </c>
      <c r="E83" s="17">
        <f>SetEnemyEasy!J88</f>
        <v>0</v>
      </c>
      <c r="F83" s="17">
        <f>SetEnemyEasy!L88</f>
        <v>0</v>
      </c>
      <c r="G83" s="17">
        <f>SetEnemyEasy!M88</f>
        <v>0</v>
      </c>
      <c r="H83" s="17">
        <f>SetEnemyEasy!N88</f>
        <v>0</v>
      </c>
      <c r="I83" s="17">
        <f>SetEnemyEasy!O88</f>
        <v>0</v>
      </c>
      <c r="J83" s="17">
        <f>SetEnemyEasy!P88</f>
        <v>0</v>
      </c>
      <c r="K83" s="17">
        <f>SetEnemyEasy!R88</f>
        <v>0</v>
      </c>
      <c r="L83" s="17">
        <f>SetEnemyEasy!S88</f>
        <v>0</v>
      </c>
    </row>
    <row r="84" spans="1:12" x14ac:dyDescent="0.15">
      <c r="A84" s="18">
        <f>SetEnemyEasy!B89</f>
        <v>0</v>
      </c>
      <c r="B84" s="18">
        <f>SetEnemyEasy!D89</f>
        <v>0</v>
      </c>
      <c r="C84" s="18">
        <f>SetEnemyEasy!F89</f>
        <v>0</v>
      </c>
      <c r="D84" s="18">
        <f>SetEnemyEasy!H89</f>
        <v>0</v>
      </c>
      <c r="E84" s="18">
        <f>SetEnemyEasy!J89</f>
        <v>0</v>
      </c>
      <c r="F84" s="18">
        <f>SetEnemyEasy!L89</f>
        <v>0</v>
      </c>
      <c r="G84" s="18">
        <f>SetEnemyEasy!M89</f>
        <v>0</v>
      </c>
      <c r="H84" s="18">
        <f>SetEnemyEasy!N89</f>
        <v>0</v>
      </c>
      <c r="I84" s="18">
        <f>SetEnemyEasy!O89</f>
        <v>0</v>
      </c>
      <c r="J84" s="18">
        <f>SetEnemyEasy!P89</f>
        <v>0</v>
      </c>
      <c r="K84" s="18">
        <f>SetEnemyEasy!R89</f>
        <v>0</v>
      </c>
      <c r="L84" s="18">
        <f>SetEnemyEasy!S89</f>
        <v>0</v>
      </c>
    </row>
    <row r="85" spans="1:12" x14ac:dyDescent="0.15">
      <c r="A85" s="17">
        <f>SetEnemyEasy!B90</f>
        <v>0</v>
      </c>
      <c r="B85" s="17">
        <f>SetEnemyEasy!D90</f>
        <v>0</v>
      </c>
      <c r="C85" s="17">
        <f>SetEnemyEasy!F90</f>
        <v>0</v>
      </c>
      <c r="D85" s="17">
        <f>SetEnemyEasy!H90</f>
        <v>0</v>
      </c>
      <c r="E85" s="17">
        <f>SetEnemyEasy!J90</f>
        <v>0</v>
      </c>
      <c r="F85" s="17">
        <f>SetEnemyEasy!L90</f>
        <v>0</v>
      </c>
      <c r="G85" s="17">
        <f>SetEnemyEasy!M90</f>
        <v>0</v>
      </c>
      <c r="H85" s="17">
        <f>SetEnemyEasy!N90</f>
        <v>0</v>
      </c>
      <c r="I85" s="17">
        <f>SetEnemyEasy!O90</f>
        <v>0</v>
      </c>
      <c r="J85" s="17">
        <f>SetEnemyEasy!P90</f>
        <v>0</v>
      </c>
      <c r="K85" s="17">
        <f>SetEnemyEasy!R90</f>
        <v>0</v>
      </c>
      <c r="L85" s="17">
        <f>SetEnemyEasy!S90</f>
        <v>0</v>
      </c>
    </row>
    <row r="86" spans="1:12" x14ac:dyDescent="0.15">
      <c r="A86" s="18">
        <f>SetEnemyEasy!B91</f>
        <v>0</v>
      </c>
      <c r="B86" s="18">
        <f>SetEnemyEasy!D91</f>
        <v>0</v>
      </c>
      <c r="C86" s="18">
        <f>SetEnemyEasy!F91</f>
        <v>0</v>
      </c>
      <c r="D86" s="18">
        <f>SetEnemyEasy!H91</f>
        <v>0</v>
      </c>
      <c r="E86" s="18">
        <f>SetEnemyEasy!J91</f>
        <v>0</v>
      </c>
      <c r="F86" s="18">
        <f>SetEnemyEasy!L91</f>
        <v>0</v>
      </c>
      <c r="G86" s="18">
        <f>SetEnemyEasy!M91</f>
        <v>0</v>
      </c>
      <c r="H86" s="18">
        <f>SetEnemyEasy!N91</f>
        <v>0</v>
      </c>
      <c r="I86" s="18">
        <f>SetEnemyEasy!O91</f>
        <v>0</v>
      </c>
      <c r="J86" s="18">
        <f>SetEnemyEasy!P91</f>
        <v>0</v>
      </c>
      <c r="K86" s="18">
        <f>SetEnemyEasy!R91</f>
        <v>0</v>
      </c>
      <c r="L86" s="18">
        <f>SetEnemyEasy!S91</f>
        <v>0</v>
      </c>
    </row>
    <row r="87" spans="1:12" x14ac:dyDescent="0.15">
      <c r="A87" s="17">
        <f>SetEnemyEasy!B92</f>
        <v>0</v>
      </c>
      <c r="B87" s="17">
        <f>SetEnemyEasy!D92</f>
        <v>0</v>
      </c>
      <c r="C87" s="17">
        <f>SetEnemyEasy!F92</f>
        <v>0</v>
      </c>
      <c r="D87" s="17">
        <f>SetEnemyEasy!H92</f>
        <v>0</v>
      </c>
      <c r="E87" s="17">
        <f>SetEnemyEasy!J92</f>
        <v>0</v>
      </c>
      <c r="F87" s="17">
        <f>SetEnemyEasy!L92</f>
        <v>0</v>
      </c>
      <c r="G87" s="17">
        <f>SetEnemyEasy!M92</f>
        <v>0</v>
      </c>
      <c r="H87" s="17">
        <f>SetEnemyEasy!N92</f>
        <v>0</v>
      </c>
      <c r="I87" s="17">
        <f>SetEnemyEasy!O92</f>
        <v>0</v>
      </c>
      <c r="J87" s="17">
        <f>SetEnemyEasy!P92</f>
        <v>0</v>
      </c>
      <c r="K87" s="17">
        <f>SetEnemyEasy!R92</f>
        <v>0</v>
      </c>
      <c r="L87" s="17">
        <f>SetEnemyEasy!S92</f>
        <v>0</v>
      </c>
    </row>
    <row r="88" spans="1:12" x14ac:dyDescent="0.15">
      <c r="A88" s="18">
        <f>SetEnemyEasy!B93</f>
        <v>0</v>
      </c>
      <c r="B88" s="18">
        <f>SetEnemyEasy!D93</f>
        <v>0</v>
      </c>
      <c r="C88" s="18">
        <f>SetEnemyEasy!F93</f>
        <v>0</v>
      </c>
      <c r="D88" s="18">
        <f>SetEnemyEasy!H93</f>
        <v>0</v>
      </c>
      <c r="E88" s="18">
        <f>SetEnemyEasy!J93</f>
        <v>0</v>
      </c>
      <c r="F88" s="18">
        <f>SetEnemyEasy!L93</f>
        <v>0</v>
      </c>
      <c r="G88" s="18">
        <f>SetEnemyEasy!M93</f>
        <v>0</v>
      </c>
      <c r="H88" s="18">
        <f>SetEnemyEasy!N93</f>
        <v>0</v>
      </c>
      <c r="I88" s="18">
        <f>SetEnemyEasy!O93</f>
        <v>0</v>
      </c>
      <c r="J88" s="18">
        <f>SetEnemyEasy!P93</f>
        <v>0</v>
      </c>
      <c r="K88" s="18">
        <f>SetEnemyEasy!R93</f>
        <v>0</v>
      </c>
      <c r="L88" s="18">
        <f>SetEnemyEasy!S93</f>
        <v>0</v>
      </c>
    </row>
    <row r="89" spans="1:12" x14ac:dyDescent="0.15">
      <c r="A89" s="17">
        <f>SetEnemyEasy!B94</f>
        <v>0</v>
      </c>
      <c r="B89" s="17">
        <f>SetEnemyEasy!D94</f>
        <v>0</v>
      </c>
      <c r="C89" s="17">
        <f>SetEnemyEasy!F94</f>
        <v>0</v>
      </c>
      <c r="D89" s="17">
        <f>SetEnemyEasy!H94</f>
        <v>0</v>
      </c>
      <c r="E89" s="17">
        <f>SetEnemyEasy!J94</f>
        <v>0</v>
      </c>
      <c r="F89" s="17">
        <f>SetEnemyEasy!L94</f>
        <v>0</v>
      </c>
      <c r="G89" s="17">
        <f>SetEnemyEasy!M94</f>
        <v>0</v>
      </c>
      <c r="H89" s="17">
        <f>SetEnemyEasy!N94</f>
        <v>0</v>
      </c>
      <c r="I89" s="17">
        <f>SetEnemyEasy!O94</f>
        <v>0</v>
      </c>
      <c r="J89" s="17">
        <f>SetEnemyEasy!P94</f>
        <v>0</v>
      </c>
      <c r="K89" s="17">
        <f>SetEnemyEasy!R94</f>
        <v>0</v>
      </c>
      <c r="L89" s="17">
        <f>SetEnemyEasy!S94</f>
        <v>0</v>
      </c>
    </row>
    <row r="90" spans="1:12" x14ac:dyDescent="0.15">
      <c r="A90" s="18">
        <f>SetEnemyEasy!B95</f>
        <v>0</v>
      </c>
      <c r="B90" s="18">
        <f>SetEnemyEasy!D95</f>
        <v>0</v>
      </c>
      <c r="C90" s="18">
        <f>SetEnemyEasy!F95</f>
        <v>0</v>
      </c>
      <c r="D90" s="18">
        <f>SetEnemyEasy!H95</f>
        <v>0</v>
      </c>
      <c r="E90" s="18">
        <f>SetEnemyEasy!J95</f>
        <v>0</v>
      </c>
      <c r="F90" s="18">
        <f>SetEnemyEasy!L95</f>
        <v>0</v>
      </c>
      <c r="G90" s="18">
        <f>SetEnemyEasy!M95</f>
        <v>0</v>
      </c>
      <c r="H90" s="18">
        <f>SetEnemyEasy!N95</f>
        <v>0</v>
      </c>
      <c r="I90" s="18">
        <f>SetEnemyEasy!O95</f>
        <v>0</v>
      </c>
      <c r="J90" s="18">
        <f>SetEnemyEasy!P95</f>
        <v>0</v>
      </c>
      <c r="K90" s="18">
        <f>SetEnemyEasy!R95</f>
        <v>0</v>
      </c>
      <c r="L90" s="18">
        <f>SetEnemyEasy!S95</f>
        <v>0</v>
      </c>
    </row>
    <row r="91" spans="1:12" x14ac:dyDescent="0.15">
      <c r="A91" s="17">
        <f>SetEnemyEasy!B96</f>
        <v>0</v>
      </c>
      <c r="B91" s="17">
        <f>SetEnemyEasy!D96</f>
        <v>0</v>
      </c>
      <c r="C91" s="17">
        <f>SetEnemyEasy!F96</f>
        <v>0</v>
      </c>
      <c r="D91" s="17">
        <f>SetEnemyEasy!H96</f>
        <v>0</v>
      </c>
      <c r="E91" s="17">
        <f>SetEnemyEasy!J96</f>
        <v>0</v>
      </c>
      <c r="F91" s="17">
        <f>SetEnemyEasy!L96</f>
        <v>0</v>
      </c>
      <c r="G91" s="17">
        <f>SetEnemyEasy!M96</f>
        <v>0</v>
      </c>
      <c r="H91" s="17">
        <f>SetEnemyEasy!N96</f>
        <v>0</v>
      </c>
      <c r="I91" s="17">
        <f>SetEnemyEasy!O96</f>
        <v>0</v>
      </c>
      <c r="J91" s="17">
        <f>SetEnemyEasy!P96</f>
        <v>0</v>
      </c>
      <c r="K91" s="17">
        <f>SetEnemyEasy!R96</f>
        <v>0</v>
      </c>
      <c r="L91" s="17">
        <f>SetEnemyEasy!S96</f>
        <v>0</v>
      </c>
    </row>
    <row r="92" spans="1:12" x14ac:dyDescent="0.15">
      <c r="A92" s="18">
        <f>SetEnemyEasy!B97</f>
        <v>0</v>
      </c>
      <c r="B92" s="18">
        <f>SetEnemyEasy!D97</f>
        <v>0</v>
      </c>
      <c r="C92" s="18">
        <f>SetEnemyEasy!F97</f>
        <v>0</v>
      </c>
      <c r="D92" s="18">
        <f>SetEnemyEasy!H97</f>
        <v>0</v>
      </c>
      <c r="E92" s="18">
        <f>SetEnemyEasy!J97</f>
        <v>0</v>
      </c>
      <c r="F92" s="18">
        <f>SetEnemyEasy!L97</f>
        <v>0</v>
      </c>
      <c r="G92" s="18">
        <f>SetEnemyEasy!M97</f>
        <v>0</v>
      </c>
      <c r="H92" s="18">
        <f>SetEnemyEasy!N97</f>
        <v>0</v>
      </c>
      <c r="I92" s="18">
        <f>SetEnemyEasy!O97</f>
        <v>0</v>
      </c>
      <c r="J92" s="18">
        <f>SetEnemyEasy!P97</f>
        <v>0</v>
      </c>
      <c r="K92" s="18">
        <f>SetEnemyEasy!R97</f>
        <v>0</v>
      </c>
      <c r="L92" s="18">
        <f>SetEnemyEasy!S97</f>
        <v>0</v>
      </c>
    </row>
    <row r="93" spans="1:12" x14ac:dyDescent="0.15">
      <c r="A93" s="17">
        <f>SetEnemyEasy!B98</f>
        <v>0</v>
      </c>
      <c r="B93" s="17">
        <f>SetEnemyEasy!D98</f>
        <v>0</v>
      </c>
      <c r="C93" s="17">
        <f>SetEnemyEasy!F98</f>
        <v>0</v>
      </c>
      <c r="D93" s="17">
        <f>SetEnemyEasy!H98</f>
        <v>0</v>
      </c>
      <c r="E93" s="17">
        <f>SetEnemyEasy!J98</f>
        <v>0</v>
      </c>
      <c r="F93" s="17">
        <f>SetEnemyEasy!L98</f>
        <v>0</v>
      </c>
      <c r="G93" s="17">
        <f>SetEnemyEasy!M98</f>
        <v>0</v>
      </c>
      <c r="H93" s="17">
        <f>SetEnemyEasy!N98</f>
        <v>0</v>
      </c>
      <c r="I93" s="17">
        <f>SetEnemyEasy!O98</f>
        <v>0</v>
      </c>
      <c r="J93" s="17">
        <f>SetEnemyEasy!P98</f>
        <v>0</v>
      </c>
      <c r="K93" s="17">
        <f>SetEnemyEasy!R98</f>
        <v>0</v>
      </c>
      <c r="L93" s="17">
        <f>SetEnemyEasy!S98</f>
        <v>0</v>
      </c>
    </row>
    <row r="94" spans="1:12" x14ac:dyDescent="0.15">
      <c r="A94" s="18">
        <f>SetEnemyEasy!B99</f>
        <v>0</v>
      </c>
      <c r="B94" s="18">
        <f>SetEnemyEasy!D99</f>
        <v>0</v>
      </c>
      <c r="C94" s="18">
        <f>SetEnemyEasy!F99</f>
        <v>0</v>
      </c>
      <c r="D94" s="18">
        <f>SetEnemyEasy!H99</f>
        <v>0</v>
      </c>
      <c r="E94" s="18">
        <f>SetEnemyEasy!J99</f>
        <v>0</v>
      </c>
      <c r="F94" s="18">
        <f>SetEnemyEasy!L99</f>
        <v>0</v>
      </c>
      <c r="G94" s="18">
        <f>SetEnemyEasy!M99</f>
        <v>0</v>
      </c>
      <c r="H94" s="18">
        <f>SetEnemyEasy!N99</f>
        <v>0</v>
      </c>
      <c r="I94" s="18">
        <f>SetEnemyEasy!O99</f>
        <v>0</v>
      </c>
      <c r="J94" s="18">
        <f>SetEnemyEasy!P99</f>
        <v>0</v>
      </c>
      <c r="K94" s="18">
        <f>SetEnemyEasy!R99</f>
        <v>0</v>
      </c>
      <c r="L94" s="18">
        <f>SetEnemyEasy!S99</f>
        <v>0</v>
      </c>
    </row>
    <row r="95" spans="1:12" x14ac:dyDescent="0.15">
      <c r="A95" s="17">
        <f>SetEnemyEasy!B100</f>
        <v>0</v>
      </c>
      <c r="B95" s="17">
        <f>SetEnemyEasy!D100</f>
        <v>0</v>
      </c>
      <c r="C95" s="17">
        <f>SetEnemyEasy!F100</f>
        <v>0</v>
      </c>
      <c r="D95" s="17">
        <f>SetEnemyEasy!H100</f>
        <v>0</v>
      </c>
      <c r="E95" s="17">
        <f>SetEnemyEasy!J100</f>
        <v>0</v>
      </c>
      <c r="F95" s="17">
        <f>SetEnemyEasy!L100</f>
        <v>0</v>
      </c>
      <c r="G95" s="17">
        <f>SetEnemyEasy!M100</f>
        <v>0</v>
      </c>
      <c r="H95" s="17">
        <f>SetEnemyEasy!N100</f>
        <v>0</v>
      </c>
      <c r="I95" s="17">
        <f>SetEnemyEasy!O100</f>
        <v>0</v>
      </c>
      <c r="J95" s="17">
        <f>SetEnemyEasy!P100</f>
        <v>0</v>
      </c>
      <c r="K95" s="17">
        <f>SetEnemyEasy!R100</f>
        <v>0</v>
      </c>
      <c r="L95" s="17">
        <f>SetEnemyEasy!S100</f>
        <v>0</v>
      </c>
    </row>
    <row r="96" spans="1:12" x14ac:dyDescent="0.15">
      <c r="A96" s="18">
        <f>SetEnemyEasy!B101</f>
        <v>0</v>
      </c>
      <c r="B96" s="18">
        <f>SetEnemyEasy!D101</f>
        <v>0</v>
      </c>
      <c r="C96" s="18">
        <f>SetEnemyEasy!F101</f>
        <v>0</v>
      </c>
      <c r="D96" s="18">
        <f>SetEnemyEasy!H101</f>
        <v>0</v>
      </c>
      <c r="E96" s="18">
        <f>SetEnemyEasy!J101</f>
        <v>0</v>
      </c>
      <c r="F96" s="18">
        <f>SetEnemyEasy!L101</f>
        <v>0</v>
      </c>
      <c r="G96" s="18">
        <f>SetEnemyEasy!M101</f>
        <v>0</v>
      </c>
      <c r="H96" s="18">
        <f>SetEnemyEasy!N101</f>
        <v>0</v>
      </c>
      <c r="I96" s="18">
        <f>SetEnemyEasy!O101</f>
        <v>0</v>
      </c>
      <c r="J96" s="18">
        <f>SetEnemyEasy!P101</f>
        <v>0</v>
      </c>
      <c r="K96" s="18">
        <f>SetEnemyEasy!R101</f>
        <v>0</v>
      </c>
      <c r="L96" s="18">
        <f>SetEnemyEasy!S101</f>
        <v>0</v>
      </c>
    </row>
    <row r="97" spans="1:12" x14ac:dyDescent="0.15">
      <c r="A97" s="17">
        <f>SetEnemyEasy!B102</f>
        <v>0</v>
      </c>
      <c r="B97" s="17">
        <f>SetEnemyEasy!D102</f>
        <v>0</v>
      </c>
      <c r="C97" s="17">
        <f>SetEnemyEasy!F102</f>
        <v>0</v>
      </c>
      <c r="D97" s="17">
        <f>SetEnemyEasy!H102</f>
        <v>0</v>
      </c>
      <c r="E97" s="17">
        <f>SetEnemyEasy!J102</f>
        <v>0</v>
      </c>
      <c r="F97" s="17">
        <f>SetEnemyEasy!L102</f>
        <v>0</v>
      </c>
      <c r="G97" s="17">
        <f>SetEnemyEasy!M102</f>
        <v>0</v>
      </c>
      <c r="H97" s="17">
        <f>SetEnemyEasy!N102</f>
        <v>0</v>
      </c>
      <c r="I97" s="17">
        <f>SetEnemyEasy!O102</f>
        <v>0</v>
      </c>
      <c r="J97" s="17">
        <f>SetEnemyEasy!P102</f>
        <v>0</v>
      </c>
      <c r="K97" s="17">
        <f>SetEnemyEasy!R102</f>
        <v>0</v>
      </c>
      <c r="L97" s="17">
        <f>SetEnemyEasy!S102</f>
        <v>0</v>
      </c>
    </row>
    <row r="98" spans="1:12" x14ac:dyDescent="0.15">
      <c r="A98" s="18">
        <f>SetEnemyEasy!B103</f>
        <v>0</v>
      </c>
      <c r="B98" s="18">
        <f>SetEnemyEasy!D103</f>
        <v>0</v>
      </c>
      <c r="C98" s="18">
        <f>SetEnemyEasy!F103</f>
        <v>0</v>
      </c>
      <c r="D98" s="18">
        <f>SetEnemyEasy!H103</f>
        <v>0</v>
      </c>
      <c r="E98" s="18">
        <f>SetEnemyEasy!J103</f>
        <v>0</v>
      </c>
      <c r="F98" s="18">
        <f>SetEnemyEasy!L103</f>
        <v>0</v>
      </c>
      <c r="G98" s="18">
        <f>SetEnemyEasy!M103</f>
        <v>0</v>
      </c>
      <c r="H98" s="18">
        <f>SetEnemyEasy!N103</f>
        <v>0</v>
      </c>
      <c r="I98" s="18">
        <f>SetEnemyEasy!O103</f>
        <v>0</v>
      </c>
      <c r="J98" s="18">
        <f>SetEnemyEasy!P103</f>
        <v>0</v>
      </c>
      <c r="K98" s="18">
        <f>SetEnemyEasy!R103</f>
        <v>0</v>
      </c>
      <c r="L98" s="18">
        <f>SetEnemyEasy!S103</f>
        <v>0</v>
      </c>
    </row>
    <row r="99" spans="1:12" x14ac:dyDescent="0.15">
      <c r="A99" s="17">
        <f>SetEnemyEasy!B104</f>
        <v>0</v>
      </c>
      <c r="B99" s="17">
        <f>SetEnemyEasy!D104</f>
        <v>0</v>
      </c>
      <c r="C99" s="17">
        <f>SetEnemyEasy!F104</f>
        <v>0</v>
      </c>
      <c r="D99" s="17">
        <f>SetEnemyEasy!H104</f>
        <v>0</v>
      </c>
      <c r="E99" s="17">
        <f>SetEnemyEasy!J104</f>
        <v>0</v>
      </c>
      <c r="F99" s="17">
        <f>SetEnemyEasy!L104</f>
        <v>0</v>
      </c>
      <c r="G99" s="17">
        <f>SetEnemyEasy!M104</f>
        <v>0</v>
      </c>
      <c r="H99" s="17">
        <f>SetEnemyEasy!N104</f>
        <v>0</v>
      </c>
      <c r="I99" s="17">
        <f>SetEnemyEasy!O104</f>
        <v>0</v>
      </c>
      <c r="J99" s="17">
        <f>SetEnemyEasy!P104</f>
        <v>0</v>
      </c>
      <c r="K99" s="17">
        <f>SetEnemyEasy!R104</f>
        <v>0</v>
      </c>
      <c r="L99" s="17">
        <f>SetEnemyEasy!S104</f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9"/>
  <sheetViews>
    <sheetView workbookViewId="0">
      <selection sqref="A1:L99"/>
    </sheetView>
  </sheetViews>
  <sheetFormatPr defaultRowHeight="13.5" x14ac:dyDescent="0.15"/>
  <cols>
    <col min="1" max="16384" width="9" style="16"/>
  </cols>
  <sheetData>
    <row r="1" spans="1:12" x14ac:dyDescent="0.15">
      <c r="A1" s="17">
        <f>SetEnemyNormal!B6</f>
        <v>200</v>
      </c>
      <c r="B1" s="17">
        <f>SetEnemyNormal!D6</f>
        <v>0</v>
      </c>
      <c r="C1" s="17">
        <f>SetEnemyNormal!F6</f>
        <v>2</v>
      </c>
      <c r="D1" s="17">
        <f>SetEnemyNormal!H6</f>
        <v>4</v>
      </c>
      <c r="E1" s="17">
        <f>SetEnemyNormal!J6</f>
        <v>0</v>
      </c>
      <c r="F1" s="17">
        <f>SetEnemyNormal!L6</f>
        <v>0</v>
      </c>
      <c r="G1" s="17">
        <f>SetEnemyNormal!M6</f>
        <v>7</v>
      </c>
      <c r="H1" s="17">
        <f>SetEnemyNormal!N6</f>
        <v>1</v>
      </c>
      <c r="I1" s="17">
        <f>SetEnemyNormal!O6</f>
        <v>1</v>
      </c>
      <c r="J1" s="17">
        <f>SetEnemyNormal!P6</f>
        <v>1</v>
      </c>
      <c r="K1" s="17">
        <f>SetEnemyNormal!R6</f>
        <v>0</v>
      </c>
      <c r="L1" s="17">
        <f>SetEnemyNormal!S6</f>
        <v>0</v>
      </c>
    </row>
    <row r="2" spans="1:12" x14ac:dyDescent="0.15">
      <c r="A2" s="18">
        <f>SetEnemyNormal!B7</f>
        <v>250</v>
      </c>
      <c r="B2" s="18">
        <f>SetEnemyNormal!D7</f>
        <v>0</v>
      </c>
      <c r="C2" s="18">
        <f>SetEnemyNormal!F7</f>
        <v>2</v>
      </c>
      <c r="D2" s="18">
        <f>SetEnemyNormal!H7</f>
        <v>4</v>
      </c>
      <c r="E2" s="18">
        <f>SetEnemyNormal!J7</f>
        <v>0</v>
      </c>
      <c r="F2" s="18">
        <f>SetEnemyNormal!L7</f>
        <v>0</v>
      </c>
      <c r="G2" s="18">
        <f>SetEnemyNormal!M7</f>
        <v>7</v>
      </c>
      <c r="H2" s="18">
        <f>SetEnemyNormal!N7</f>
        <v>1</v>
      </c>
      <c r="I2" s="18">
        <f>SetEnemyNormal!O7</f>
        <v>1</v>
      </c>
      <c r="J2" s="18">
        <f>SetEnemyNormal!P7</f>
        <v>1</v>
      </c>
      <c r="K2" s="18">
        <f>SetEnemyNormal!R7</f>
        <v>0</v>
      </c>
      <c r="L2" s="18">
        <f>SetEnemyNormal!S7</f>
        <v>0</v>
      </c>
    </row>
    <row r="3" spans="1:12" x14ac:dyDescent="0.15">
      <c r="A3" s="17">
        <f>SetEnemyNormal!B8</f>
        <v>300</v>
      </c>
      <c r="B3" s="17">
        <f>SetEnemyNormal!D8</f>
        <v>0</v>
      </c>
      <c r="C3" s="17">
        <f>SetEnemyNormal!F8</f>
        <v>2</v>
      </c>
      <c r="D3" s="17">
        <f>SetEnemyNormal!H8</f>
        <v>2</v>
      </c>
      <c r="E3" s="17">
        <f>SetEnemyNormal!J8</f>
        <v>0</v>
      </c>
      <c r="F3" s="17">
        <f>SetEnemyNormal!L8</f>
        <v>0</v>
      </c>
      <c r="G3" s="17">
        <f>SetEnemyNormal!M8</f>
        <v>7</v>
      </c>
      <c r="H3" s="17">
        <f>SetEnemyNormal!N8</f>
        <v>1</v>
      </c>
      <c r="I3" s="17">
        <f>SetEnemyNormal!O8</f>
        <v>1</v>
      </c>
      <c r="J3" s="17">
        <f>SetEnemyNormal!P8</f>
        <v>1</v>
      </c>
      <c r="K3" s="17">
        <f>SetEnemyNormal!R8</f>
        <v>0</v>
      </c>
      <c r="L3" s="17">
        <f>SetEnemyNormal!S8</f>
        <v>0</v>
      </c>
    </row>
    <row r="4" spans="1:12" x14ac:dyDescent="0.15">
      <c r="A4" s="18">
        <f>SetEnemyNormal!B9</f>
        <v>400</v>
      </c>
      <c r="B4" s="18">
        <f>SetEnemyNormal!D9</f>
        <v>5</v>
      </c>
      <c r="C4" s="18">
        <f>SetEnemyNormal!F9</f>
        <v>4</v>
      </c>
      <c r="D4" s="18">
        <f>SetEnemyNormal!H9</f>
        <v>4</v>
      </c>
      <c r="E4" s="18">
        <f>SetEnemyNormal!J9</f>
        <v>0</v>
      </c>
      <c r="F4" s="18">
        <f>SetEnemyNormal!L9</f>
        <v>5</v>
      </c>
      <c r="G4" s="18">
        <f>SetEnemyNormal!M9</f>
        <v>7</v>
      </c>
      <c r="H4" s="18">
        <f>SetEnemyNormal!N9</f>
        <v>1</v>
      </c>
      <c r="I4" s="18">
        <f>SetEnemyNormal!O9</f>
        <v>1</v>
      </c>
      <c r="J4" s="18">
        <f>SetEnemyNormal!P9</f>
        <v>1</v>
      </c>
      <c r="K4" s="18">
        <f>SetEnemyNormal!R9</f>
        <v>0</v>
      </c>
      <c r="L4" s="18">
        <f>SetEnemyNormal!S9</f>
        <v>0</v>
      </c>
    </row>
    <row r="5" spans="1:12" x14ac:dyDescent="0.15">
      <c r="A5" s="17">
        <f>SetEnemyNormal!B10</f>
        <v>450</v>
      </c>
      <c r="B5" s="17">
        <f>SetEnemyNormal!D10</f>
        <v>5</v>
      </c>
      <c r="C5" s="17">
        <f>SetEnemyNormal!F10</f>
        <v>4</v>
      </c>
      <c r="D5" s="17">
        <f>SetEnemyNormal!H10</f>
        <v>4</v>
      </c>
      <c r="E5" s="17">
        <f>SetEnemyNormal!J10</f>
        <v>0</v>
      </c>
      <c r="F5" s="17">
        <f>SetEnemyNormal!L10</f>
        <v>5</v>
      </c>
      <c r="G5" s="17">
        <f>SetEnemyNormal!M10</f>
        <v>7</v>
      </c>
      <c r="H5" s="17">
        <f>SetEnemyNormal!N10</f>
        <v>1</v>
      </c>
      <c r="I5" s="17">
        <f>SetEnemyNormal!O10</f>
        <v>1</v>
      </c>
      <c r="J5" s="17">
        <f>SetEnemyNormal!P10</f>
        <v>1</v>
      </c>
      <c r="K5" s="17">
        <f>SetEnemyNormal!R10</f>
        <v>0</v>
      </c>
      <c r="L5" s="17">
        <f>SetEnemyNormal!S10</f>
        <v>0</v>
      </c>
    </row>
    <row r="6" spans="1:12" x14ac:dyDescent="0.15">
      <c r="A6" s="18">
        <f>SetEnemyNormal!B11</f>
        <v>500</v>
      </c>
      <c r="B6" s="18">
        <f>SetEnemyNormal!D11</f>
        <v>5</v>
      </c>
      <c r="C6" s="18">
        <f>SetEnemyNormal!F11</f>
        <v>4</v>
      </c>
      <c r="D6" s="18">
        <f>SetEnemyNormal!H11</f>
        <v>4</v>
      </c>
      <c r="E6" s="18">
        <f>SetEnemyNormal!J11</f>
        <v>0</v>
      </c>
      <c r="F6" s="18">
        <f>SetEnemyNormal!L11</f>
        <v>5</v>
      </c>
      <c r="G6" s="18">
        <f>SetEnemyNormal!M11</f>
        <v>7</v>
      </c>
      <c r="H6" s="18">
        <f>SetEnemyNormal!N11</f>
        <v>1</v>
      </c>
      <c r="I6" s="18">
        <f>SetEnemyNormal!O11</f>
        <v>1</v>
      </c>
      <c r="J6" s="18">
        <f>SetEnemyNormal!P11</f>
        <v>1</v>
      </c>
      <c r="K6" s="18">
        <f>SetEnemyNormal!R11</f>
        <v>0</v>
      </c>
      <c r="L6" s="18">
        <f>SetEnemyNormal!S11</f>
        <v>0</v>
      </c>
    </row>
    <row r="7" spans="1:12" x14ac:dyDescent="0.15">
      <c r="A7" s="17">
        <f>SetEnemyNormal!B12</f>
        <v>600</v>
      </c>
      <c r="B7" s="17">
        <f>SetEnemyNormal!D12</f>
        <v>1</v>
      </c>
      <c r="C7" s="17">
        <f>SetEnemyNormal!F12</f>
        <v>3</v>
      </c>
      <c r="D7" s="17">
        <f>SetEnemyNormal!H12</f>
        <v>4</v>
      </c>
      <c r="E7" s="17">
        <f>SetEnemyNormal!J12</f>
        <v>0</v>
      </c>
      <c r="F7" s="17">
        <f>SetEnemyNormal!L12</f>
        <v>7</v>
      </c>
      <c r="G7" s="17">
        <f>SetEnemyNormal!M12</f>
        <v>7</v>
      </c>
      <c r="H7" s="17">
        <f>SetEnemyNormal!N12</f>
        <v>1</v>
      </c>
      <c r="I7" s="17">
        <f>SetEnemyNormal!O12</f>
        <v>1</v>
      </c>
      <c r="J7" s="17">
        <f>SetEnemyNormal!P12</f>
        <v>1</v>
      </c>
      <c r="K7" s="17">
        <f>SetEnemyNormal!R12</f>
        <v>0</v>
      </c>
      <c r="L7" s="17">
        <f>SetEnemyNormal!S12</f>
        <v>0</v>
      </c>
    </row>
    <row r="8" spans="1:12" x14ac:dyDescent="0.15">
      <c r="A8" s="18">
        <f>SetEnemyNormal!B13</f>
        <v>650</v>
      </c>
      <c r="B8" s="18">
        <f>SetEnemyNormal!D13</f>
        <v>1</v>
      </c>
      <c r="C8" s="18">
        <f>SetEnemyNormal!F13</f>
        <v>3</v>
      </c>
      <c r="D8" s="18">
        <f>SetEnemyNormal!H13</f>
        <v>4</v>
      </c>
      <c r="E8" s="18">
        <f>SetEnemyNormal!J13</f>
        <v>0</v>
      </c>
      <c r="F8" s="18">
        <f>SetEnemyNormal!L13</f>
        <v>7</v>
      </c>
      <c r="G8" s="18">
        <f>SetEnemyNormal!M13</f>
        <v>7</v>
      </c>
      <c r="H8" s="18">
        <f>SetEnemyNormal!N13</f>
        <v>1</v>
      </c>
      <c r="I8" s="18">
        <f>SetEnemyNormal!O13</f>
        <v>1</v>
      </c>
      <c r="J8" s="18">
        <f>SetEnemyNormal!P13</f>
        <v>1</v>
      </c>
      <c r="K8" s="18">
        <f>SetEnemyNormal!R13</f>
        <v>0</v>
      </c>
      <c r="L8" s="18">
        <f>SetEnemyNormal!S13</f>
        <v>0</v>
      </c>
    </row>
    <row r="9" spans="1:12" x14ac:dyDescent="0.15">
      <c r="A9" s="17">
        <f>SetEnemyNormal!B14</f>
        <v>700</v>
      </c>
      <c r="B9" s="17">
        <f>SetEnemyNormal!D14</f>
        <v>1</v>
      </c>
      <c r="C9" s="17">
        <f>SetEnemyNormal!F14</f>
        <v>3</v>
      </c>
      <c r="D9" s="17">
        <f>SetEnemyNormal!H14</f>
        <v>4</v>
      </c>
      <c r="E9" s="17">
        <f>SetEnemyNormal!J14</f>
        <v>0</v>
      </c>
      <c r="F9" s="17">
        <f>SetEnemyNormal!L14</f>
        <v>7</v>
      </c>
      <c r="G9" s="17">
        <f>SetEnemyNormal!M14</f>
        <v>7</v>
      </c>
      <c r="H9" s="17">
        <f>SetEnemyNormal!N14</f>
        <v>1</v>
      </c>
      <c r="I9" s="17">
        <f>SetEnemyNormal!O14</f>
        <v>1</v>
      </c>
      <c r="J9" s="17">
        <f>SetEnemyNormal!P14</f>
        <v>1</v>
      </c>
      <c r="K9" s="17">
        <f>SetEnemyNormal!R14</f>
        <v>0</v>
      </c>
      <c r="L9" s="17">
        <f>SetEnemyNormal!S14</f>
        <v>0</v>
      </c>
    </row>
    <row r="10" spans="1:12" x14ac:dyDescent="0.15">
      <c r="A10" s="18">
        <f>SetEnemyNormal!B15</f>
        <v>800</v>
      </c>
      <c r="B10" s="18">
        <f>SetEnemyNormal!D15</f>
        <v>3</v>
      </c>
      <c r="C10" s="18">
        <f>SetEnemyNormal!F15</f>
        <v>7</v>
      </c>
      <c r="D10" s="18">
        <f>SetEnemyNormal!H15</f>
        <v>4</v>
      </c>
      <c r="E10" s="18">
        <f>SetEnemyNormal!J15</f>
        <v>0</v>
      </c>
      <c r="F10" s="18">
        <f>SetEnemyNormal!L15</f>
        <v>3</v>
      </c>
      <c r="G10" s="18">
        <f>SetEnemyNormal!M15</f>
        <v>7</v>
      </c>
      <c r="H10" s="18">
        <f>SetEnemyNormal!N15</f>
        <v>1</v>
      </c>
      <c r="I10" s="18">
        <f>SetEnemyNormal!O15</f>
        <v>1</v>
      </c>
      <c r="J10" s="18">
        <f>SetEnemyNormal!P15</f>
        <v>1</v>
      </c>
      <c r="K10" s="18">
        <f>SetEnemyNormal!R15</f>
        <v>0</v>
      </c>
      <c r="L10" s="18">
        <f>SetEnemyNormal!S15</f>
        <v>0</v>
      </c>
    </row>
    <row r="11" spans="1:12" x14ac:dyDescent="0.15">
      <c r="A11" s="17">
        <f>SetEnemyNormal!B16</f>
        <v>850</v>
      </c>
      <c r="B11" s="17">
        <f>SetEnemyNormal!D16</f>
        <v>3</v>
      </c>
      <c r="C11" s="17">
        <f>SetEnemyNormal!F16</f>
        <v>7</v>
      </c>
      <c r="D11" s="17">
        <f>SetEnemyNormal!H16</f>
        <v>4</v>
      </c>
      <c r="E11" s="17">
        <f>SetEnemyNormal!J16</f>
        <v>0</v>
      </c>
      <c r="F11" s="17">
        <f>SetEnemyNormal!L16</f>
        <v>3</v>
      </c>
      <c r="G11" s="17">
        <f>SetEnemyNormal!M16</f>
        <v>7</v>
      </c>
      <c r="H11" s="17">
        <f>SetEnemyNormal!N16</f>
        <v>1</v>
      </c>
      <c r="I11" s="17">
        <f>SetEnemyNormal!O16</f>
        <v>1</v>
      </c>
      <c r="J11" s="17">
        <f>SetEnemyNormal!P16</f>
        <v>1</v>
      </c>
      <c r="K11" s="17">
        <f>SetEnemyNormal!R16</f>
        <v>0</v>
      </c>
      <c r="L11" s="17">
        <f>SetEnemyNormal!S16</f>
        <v>0</v>
      </c>
    </row>
    <row r="12" spans="1:12" x14ac:dyDescent="0.15">
      <c r="A12" s="18">
        <f>SetEnemyNormal!B17</f>
        <v>900</v>
      </c>
      <c r="B12" s="18">
        <f>SetEnemyNormal!D17</f>
        <v>3</v>
      </c>
      <c r="C12" s="18">
        <f>SetEnemyNormal!F17</f>
        <v>7</v>
      </c>
      <c r="D12" s="18">
        <f>SetEnemyNormal!H17</f>
        <v>4</v>
      </c>
      <c r="E12" s="18">
        <f>SetEnemyNormal!J17</f>
        <v>0</v>
      </c>
      <c r="F12" s="18">
        <f>SetEnemyNormal!L17</f>
        <v>3</v>
      </c>
      <c r="G12" s="18">
        <f>SetEnemyNormal!M17</f>
        <v>7</v>
      </c>
      <c r="H12" s="18">
        <f>SetEnemyNormal!N17</f>
        <v>1</v>
      </c>
      <c r="I12" s="18">
        <f>SetEnemyNormal!O17</f>
        <v>1</v>
      </c>
      <c r="J12" s="18">
        <f>SetEnemyNormal!P17</f>
        <v>1</v>
      </c>
      <c r="K12" s="18">
        <f>SetEnemyNormal!R17</f>
        <v>0</v>
      </c>
      <c r="L12" s="18">
        <f>SetEnemyNormal!S17</f>
        <v>0</v>
      </c>
    </row>
    <row r="13" spans="1:12" x14ac:dyDescent="0.15">
      <c r="A13" s="17">
        <f>SetEnemyNormal!B18</f>
        <v>900</v>
      </c>
      <c r="B13" s="17">
        <f>SetEnemyNormal!D18</f>
        <v>7</v>
      </c>
      <c r="C13" s="17">
        <f>SetEnemyNormal!F18</f>
        <v>4</v>
      </c>
      <c r="D13" s="17">
        <f>SetEnemyNormal!H18</f>
        <v>7</v>
      </c>
      <c r="E13" s="17">
        <f>SetEnemyNormal!J18</f>
        <v>5</v>
      </c>
      <c r="F13" s="17">
        <f>SetEnemyNormal!L18</f>
        <v>4</v>
      </c>
      <c r="G13" s="17">
        <f>SetEnemyNormal!M18</f>
        <v>5</v>
      </c>
      <c r="H13" s="17">
        <f>SetEnemyNormal!N18</f>
        <v>30</v>
      </c>
      <c r="I13" s="17">
        <f>SetEnemyNormal!O18</f>
        <v>10</v>
      </c>
      <c r="J13" s="17">
        <f>SetEnemyNormal!P18</f>
        <v>9</v>
      </c>
      <c r="K13" s="17">
        <f>SetEnemyNormal!R18</f>
        <v>0</v>
      </c>
      <c r="L13" s="17">
        <f>SetEnemyNormal!S18</f>
        <v>0</v>
      </c>
    </row>
    <row r="14" spans="1:12" x14ac:dyDescent="0.15">
      <c r="A14" s="18">
        <f>SetEnemyNormal!B19</f>
        <v>1100</v>
      </c>
      <c r="B14" s="18">
        <f>SetEnemyNormal!D19</f>
        <v>7</v>
      </c>
      <c r="C14" s="18">
        <f>SetEnemyNormal!F19</f>
        <v>2</v>
      </c>
      <c r="D14" s="18">
        <f>SetEnemyNormal!H19</f>
        <v>7</v>
      </c>
      <c r="E14" s="18">
        <f>SetEnemyNormal!J19</f>
        <v>5</v>
      </c>
      <c r="F14" s="18">
        <f>SetEnemyNormal!L19</f>
        <v>4</v>
      </c>
      <c r="G14" s="18">
        <f>SetEnemyNormal!M19</f>
        <v>5</v>
      </c>
      <c r="H14" s="18">
        <f>SetEnemyNormal!N19</f>
        <v>30</v>
      </c>
      <c r="I14" s="18">
        <f>SetEnemyNormal!O19</f>
        <v>10</v>
      </c>
      <c r="J14" s="18">
        <f>SetEnemyNormal!P19</f>
        <v>9</v>
      </c>
      <c r="K14" s="18">
        <f>SetEnemyNormal!R19</f>
        <v>0</v>
      </c>
      <c r="L14" s="18">
        <f>SetEnemyNormal!S19</f>
        <v>0</v>
      </c>
    </row>
    <row r="15" spans="1:12" x14ac:dyDescent="0.15">
      <c r="A15" s="17">
        <f>SetEnemyNormal!B20</f>
        <v>1300</v>
      </c>
      <c r="B15" s="17">
        <f>SetEnemyNormal!D20</f>
        <v>7</v>
      </c>
      <c r="C15" s="17">
        <f>SetEnemyNormal!F20</f>
        <v>6</v>
      </c>
      <c r="D15" s="17">
        <f>SetEnemyNormal!H20</f>
        <v>7</v>
      </c>
      <c r="E15" s="17">
        <f>SetEnemyNormal!J20</f>
        <v>5</v>
      </c>
      <c r="F15" s="17">
        <f>SetEnemyNormal!L20</f>
        <v>4</v>
      </c>
      <c r="G15" s="17">
        <f>SetEnemyNormal!M20</f>
        <v>5</v>
      </c>
      <c r="H15" s="17">
        <f>SetEnemyNormal!N20</f>
        <v>30</v>
      </c>
      <c r="I15" s="17">
        <f>SetEnemyNormal!O20</f>
        <v>10</v>
      </c>
      <c r="J15" s="17">
        <f>SetEnemyNormal!P20</f>
        <v>9</v>
      </c>
      <c r="K15" s="17">
        <f>SetEnemyNormal!R20</f>
        <v>0</v>
      </c>
      <c r="L15" s="17">
        <f>SetEnemyNormal!S20</f>
        <v>0</v>
      </c>
    </row>
    <row r="16" spans="1:12" x14ac:dyDescent="0.15">
      <c r="A16" s="18">
        <f>SetEnemyNormal!B21</f>
        <v>1350</v>
      </c>
      <c r="B16" s="18">
        <f>SetEnemyNormal!D21</f>
        <v>3</v>
      </c>
      <c r="C16" s="18">
        <f>SetEnemyNormal!F21</f>
        <v>1</v>
      </c>
      <c r="D16" s="18">
        <f>SetEnemyNormal!H21</f>
        <v>0</v>
      </c>
      <c r="E16" s="18">
        <f>SetEnemyNormal!J21</f>
        <v>0</v>
      </c>
      <c r="F16" s="18">
        <f>SetEnemyNormal!L21</f>
        <v>3</v>
      </c>
      <c r="G16" s="18">
        <f>SetEnemyNormal!M21</f>
        <v>7</v>
      </c>
      <c r="H16" s="18">
        <f>SetEnemyNormal!N21</f>
        <v>20</v>
      </c>
      <c r="I16" s="18">
        <f>SetEnemyNormal!O21</f>
        <v>6</v>
      </c>
      <c r="J16" s="18">
        <f>SetEnemyNormal!P21</f>
        <v>1</v>
      </c>
      <c r="K16" s="18">
        <f>SetEnemyNormal!R21</f>
        <v>0</v>
      </c>
      <c r="L16" s="18">
        <f>SetEnemyNormal!S21</f>
        <v>0</v>
      </c>
    </row>
    <row r="17" spans="1:12" x14ac:dyDescent="0.15">
      <c r="A17" s="17">
        <f>SetEnemyNormal!B22</f>
        <v>1400</v>
      </c>
      <c r="B17" s="17">
        <f>SetEnemyNormal!D22</f>
        <v>3</v>
      </c>
      <c r="C17" s="17">
        <f>SetEnemyNormal!F22</f>
        <v>1</v>
      </c>
      <c r="D17" s="17">
        <f>SetEnemyNormal!H22</f>
        <v>0</v>
      </c>
      <c r="E17" s="17">
        <f>SetEnemyNormal!J22</f>
        <v>0</v>
      </c>
      <c r="F17" s="17">
        <f>SetEnemyNormal!L22</f>
        <v>3</v>
      </c>
      <c r="G17" s="17">
        <f>SetEnemyNormal!M22</f>
        <v>7</v>
      </c>
      <c r="H17" s="17">
        <f>SetEnemyNormal!N22</f>
        <v>20</v>
      </c>
      <c r="I17" s="17">
        <f>SetEnemyNormal!O22</f>
        <v>6</v>
      </c>
      <c r="J17" s="17">
        <f>SetEnemyNormal!P22</f>
        <v>1</v>
      </c>
      <c r="K17" s="17">
        <f>SetEnemyNormal!R22</f>
        <v>0</v>
      </c>
      <c r="L17" s="17">
        <f>SetEnemyNormal!S22</f>
        <v>0</v>
      </c>
    </row>
    <row r="18" spans="1:12" x14ac:dyDescent="0.15">
      <c r="A18" s="18">
        <f>SetEnemyNormal!B23</f>
        <v>1450</v>
      </c>
      <c r="B18" s="18">
        <f>SetEnemyNormal!D23</f>
        <v>3</v>
      </c>
      <c r="C18" s="18">
        <f>SetEnemyNormal!F23</f>
        <v>1</v>
      </c>
      <c r="D18" s="18">
        <f>SetEnemyNormal!H23</f>
        <v>0</v>
      </c>
      <c r="E18" s="18">
        <f>SetEnemyNormal!J23</f>
        <v>0</v>
      </c>
      <c r="F18" s="18">
        <f>SetEnemyNormal!L23</f>
        <v>3</v>
      </c>
      <c r="G18" s="18">
        <f>SetEnemyNormal!M23</f>
        <v>7</v>
      </c>
      <c r="H18" s="18">
        <f>SetEnemyNormal!N23</f>
        <v>20</v>
      </c>
      <c r="I18" s="18">
        <f>SetEnemyNormal!O23</f>
        <v>6</v>
      </c>
      <c r="J18" s="18">
        <f>SetEnemyNormal!P23</f>
        <v>1</v>
      </c>
      <c r="K18" s="18">
        <f>SetEnemyNormal!R23</f>
        <v>0</v>
      </c>
      <c r="L18" s="18">
        <f>SetEnemyNormal!S23</f>
        <v>0</v>
      </c>
    </row>
    <row r="19" spans="1:12" x14ac:dyDescent="0.15">
      <c r="A19" s="17">
        <f>SetEnemyNormal!B24</f>
        <v>1550</v>
      </c>
      <c r="B19" s="17">
        <f>SetEnemyNormal!D24</f>
        <v>7</v>
      </c>
      <c r="C19" s="17">
        <f>SetEnemyNormal!F24</f>
        <v>4</v>
      </c>
      <c r="D19" s="17">
        <f>SetEnemyNormal!H24</f>
        <v>7</v>
      </c>
      <c r="E19" s="17">
        <f>SetEnemyNormal!J24</f>
        <v>5</v>
      </c>
      <c r="F19" s="17">
        <f>SetEnemyNormal!L24</f>
        <v>5</v>
      </c>
      <c r="G19" s="17">
        <f>SetEnemyNormal!M24</f>
        <v>5</v>
      </c>
      <c r="H19" s="17">
        <f>SetEnemyNormal!N24</f>
        <v>30</v>
      </c>
      <c r="I19" s="17">
        <f>SetEnemyNormal!O24</f>
        <v>10</v>
      </c>
      <c r="J19" s="17">
        <f>SetEnemyNormal!P24</f>
        <v>9</v>
      </c>
      <c r="K19" s="17">
        <f>SetEnemyNormal!R24</f>
        <v>0</v>
      </c>
      <c r="L19" s="17">
        <f>SetEnemyNormal!S24</f>
        <v>0</v>
      </c>
    </row>
    <row r="20" spans="1:12" x14ac:dyDescent="0.15">
      <c r="A20" s="18">
        <f>SetEnemyNormal!B25</f>
        <v>1650</v>
      </c>
      <c r="B20" s="18">
        <f>SetEnemyNormal!D25</f>
        <v>0</v>
      </c>
      <c r="C20" s="18">
        <f>SetEnemyNormal!F25</f>
        <v>7</v>
      </c>
      <c r="D20" s="18">
        <f>SetEnemyNormal!H25</f>
        <v>1</v>
      </c>
      <c r="E20" s="18">
        <f>SetEnemyNormal!J25</f>
        <v>0</v>
      </c>
      <c r="F20" s="18">
        <f>SetEnemyNormal!L25</f>
        <v>0</v>
      </c>
      <c r="G20" s="18">
        <f>SetEnemyNormal!M25</f>
        <v>7</v>
      </c>
      <c r="H20" s="18">
        <f>SetEnemyNormal!N25</f>
        <v>20</v>
      </c>
      <c r="I20" s="18">
        <f>SetEnemyNormal!O25</f>
        <v>6</v>
      </c>
      <c r="J20" s="18">
        <f>SetEnemyNormal!P25</f>
        <v>1</v>
      </c>
      <c r="K20" s="18">
        <f>SetEnemyNormal!R25</f>
        <v>0</v>
      </c>
      <c r="L20" s="18">
        <f>SetEnemyNormal!S25</f>
        <v>0</v>
      </c>
    </row>
    <row r="21" spans="1:12" x14ac:dyDescent="0.15">
      <c r="A21" s="17">
        <f>SetEnemyNormal!B26</f>
        <v>1700</v>
      </c>
      <c r="B21" s="17">
        <f>SetEnemyNormal!D26</f>
        <v>0</v>
      </c>
      <c r="C21" s="17">
        <f>SetEnemyNormal!F26</f>
        <v>7</v>
      </c>
      <c r="D21" s="17">
        <f>SetEnemyNormal!H26</f>
        <v>1</v>
      </c>
      <c r="E21" s="17">
        <f>SetEnemyNormal!J26</f>
        <v>0</v>
      </c>
      <c r="F21" s="17">
        <f>SetEnemyNormal!L26</f>
        <v>0</v>
      </c>
      <c r="G21" s="17">
        <f>SetEnemyNormal!M26</f>
        <v>7</v>
      </c>
      <c r="H21" s="17">
        <f>SetEnemyNormal!N26</f>
        <v>20</v>
      </c>
      <c r="I21" s="17">
        <f>SetEnemyNormal!O26</f>
        <v>6</v>
      </c>
      <c r="J21" s="17">
        <f>SetEnemyNormal!P26</f>
        <v>1</v>
      </c>
      <c r="K21" s="17">
        <f>SetEnemyNormal!R26</f>
        <v>0</v>
      </c>
      <c r="L21" s="17">
        <f>SetEnemyNormal!S26</f>
        <v>0</v>
      </c>
    </row>
    <row r="22" spans="1:12" x14ac:dyDescent="0.15">
      <c r="A22" s="18">
        <f>SetEnemyNormal!B27</f>
        <v>1750</v>
      </c>
      <c r="B22" s="18">
        <f>SetEnemyNormal!D27</f>
        <v>0</v>
      </c>
      <c r="C22" s="18">
        <f>SetEnemyNormal!F27</f>
        <v>7</v>
      </c>
      <c r="D22" s="18">
        <f>SetEnemyNormal!H27</f>
        <v>1</v>
      </c>
      <c r="E22" s="18">
        <f>SetEnemyNormal!J27</f>
        <v>0</v>
      </c>
      <c r="F22" s="18">
        <f>SetEnemyNormal!L27</f>
        <v>0</v>
      </c>
      <c r="G22" s="18">
        <f>SetEnemyNormal!M27</f>
        <v>7</v>
      </c>
      <c r="H22" s="18">
        <f>SetEnemyNormal!N27</f>
        <v>20</v>
      </c>
      <c r="I22" s="18">
        <f>SetEnemyNormal!O27</f>
        <v>6</v>
      </c>
      <c r="J22" s="18">
        <f>SetEnemyNormal!P27</f>
        <v>1</v>
      </c>
      <c r="K22" s="18">
        <f>SetEnemyNormal!R27</f>
        <v>0</v>
      </c>
      <c r="L22" s="18">
        <f>SetEnemyNormal!S27</f>
        <v>0</v>
      </c>
    </row>
    <row r="23" spans="1:12" x14ac:dyDescent="0.15">
      <c r="A23" s="17">
        <f>SetEnemyNormal!B28</f>
        <v>1900</v>
      </c>
      <c r="B23" s="17">
        <f>SetEnemyNormal!D28</f>
        <v>7</v>
      </c>
      <c r="C23" s="17">
        <f>SetEnemyNormal!F28</f>
        <v>4</v>
      </c>
      <c r="D23" s="17">
        <f>SetEnemyNormal!H28</f>
        <v>7</v>
      </c>
      <c r="E23" s="17">
        <f>SetEnemyNormal!J28</f>
        <v>6</v>
      </c>
      <c r="F23" s="17">
        <f>SetEnemyNormal!L28</f>
        <v>4</v>
      </c>
      <c r="G23" s="17">
        <f>SetEnemyNormal!M28</f>
        <v>5</v>
      </c>
      <c r="H23" s="17">
        <f>SetEnemyNormal!N28</f>
        <v>30</v>
      </c>
      <c r="I23" s="17">
        <f>SetEnemyNormal!O28</f>
        <v>10</v>
      </c>
      <c r="J23" s="17">
        <f>SetEnemyNormal!P28</f>
        <v>11</v>
      </c>
      <c r="K23" s="17">
        <f>SetEnemyNormal!R28</f>
        <v>0</v>
      </c>
      <c r="L23" s="17">
        <f>SetEnemyNormal!S28</f>
        <v>0</v>
      </c>
    </row>
    <row r="24" spans="1:12" x14ac:dyDescent="0.15">
      <c r="A24" s="18">
        <f>SetEnemyNormal!B29</f>
        <v>2000</v>
      </c>
      <c r="B24" s="18">
        <f>SetEnemyNormal!D29</f>
        <v>7</v>
      </c>
      <c r="C24" s="18">
        <f>SetEnemyNormal!F29</f>
        <v>6</v>
      </c>
      <c r="D24" s="18">
        <f>SetEnemyNormal!H29</f>
        <v>7</v>
      </c>
      <c r="E24" s="18">
        <f>SetEnemyNormal!J29</f>
        <v>6</v>
      </c>
      <c r="F24" s="18">
        <f>SetEnemyNormal!L29</f>
        <v>4</v>
      </c>
      <c r="G24" s="18">
        <f>SetEnemyNormal!M29</f>
        <v>5</v>
      </c>
      <c r="H24" s="18">
        <f>SetEnemyNormal!N29</f>
        <v>30</v>
      </c>
      <c r="I24" s="18">
        <f>SetEnemyNormal!O29</f>
        <v>10</v>
      </c>
      <c r="J24" s="18">
        <f>SetEnemyNormal!P29</f>
        <v>11</v>
      </c>
      <c r="K24" s="18">
        <f>SetEnemyNormal!R29</f>
        <v>0</v>
      </c>
      <c r="L24" s="18">
        <f>SetEnemyNormal!S29</f>
        <v>0</v>
      </c>
    </row>
    <row r="25" spans="1:12" x14ac:dyDescent="0.15">
      <c r="A25" s="17">
        <f>SetEnemyNormal!B30</f>
        <v>2100</v>
      </c>
      <c r="B25" s="17">
        <f>SetEnemyNormal!D30</f>
        <v>7</v>
      </c>
      <c r="C25" s="17">
        <f>SetEnemyNormal!F30</f>
        <v>2</v>
      </c>
      <c r="D25" s="17">
        <f>SetEnemyNormal!H30</f>
        <v>7</v>
      </c>
      <c r="E25" s="17">
        <f>SetEnemyNormal!J30</f>
        <v>6</v>
      </c>
      <c r="F25" s="17">
        <f>SetEnemyNormal!L30</f>
        <v>4</v>
      </c>
      <c r="G25" s="17">
        <f>SetEnemyNormal!M30</f>
        <v>5</v>
      </c>
      <c r="H25" s="17">
        <f>SetEnemyNormal!N30</f>
        <v>30</v>
      </c>
      <c r="I25" s="17">
        <f>SetEnemyNormal!O30</f>
        <v>10</v>
      </c>
      <c r="J25" s="17">
        <f>SetEnemyNormal!P30</f>
        <v>11</v>
      </c>
      <c r="K25" s="17">
        <f>SetEnemyNormal!R30</f>
        <v>0</v>
      </c>
      <c r="L25" s="17">
        <f>SetEnemyNormal!S30</f>
        <v>0</v>
      </c>
    </row>
    <row r="26" spans="1:12" x14ac:dyDescent="0.15">
      <c r="A26" s="18">
        <f>SetEnemyNormal!B31</f>
        <v>2250</v>
      </c>
      <c r="B26" s="18">
        <f>SetEnemyNormal!D31</f>
        <v>3</v>
      </c>
      <c r="C26" s="18">
        <f>SetEnemyNormal!F31</f>
        <v>1</v>
      </c>
      <c r="D26" s="18">
        <f>SetEnemyNormal!H31</f>
        <v>0</v>
      </c>
      <c r="E26" s="18">
        <f>SetEnemyNormal!J31</f>
        <v>0</v>
      </c>
      <c r="F26" s="18">
        <f>SetEnemyNormal!L31</f>
        <v>3</v>
      </c>
      <c r="G26" s="18">
        <f>SetEnemyNormal!M31</f>
        <v>7</v>
      </c>
      <c r="H26" s="18">
        <f>SetEnemyNormal!N31</f>
        <v>20</v>
      </c>
      <c r="I26" s="18">
        <f>SetEnemyNormal!O31</f>
        <v>6</v>
      </c>
      <c r="J26" s="18">
        <f>SetEnemyNormal!P31</f>
        <v>1</v>
      </c>
      <c r="K26" s="18">
        <f>SetEnemyNormal!R31</f>
        <v>0</v>
      </c>
      <c r="L26" s="18">
        <f>SetEnemyNormal!S31</f>
        <v>0</v>
      </c>
    </row>
    <row r="27" spans="1:12" x14ac:dyDescent="0.15">
      <c r="A27" s="17">
        <f>SetEnemyNormal!B32</f>
        <v>2300</v>
      </c>
      <c r="B27" s="17">
        <f>SetEnemyNormal!D32</f>
        <v>3</v>
      </c>
      <c r="C27" s="17">
        <f>SetEnemyNormal!F32</f>
        <v>1</v>
      </c>
      <c r="D27" s="17">
        <f>SetEnemyNormal!H32</f>
        <v>0</v>
      </c>
      <c r="E27" s="17">
        <f>SetEnemyNormal!J32</f>
        <v>0</v>
      </c>
      <c r="F27" s="17">
        <f>SetEnemyNormal!L32</f>
        <v>3</v>
      </c>
      <c r="G27" s="17">
        <f>SetEnemyNormal!M32</f>
        <v>7</v>
      </c>
      <c r="H27" s="17">
        <f>SetEnemyNormal!N32</f>
        <v>20</v>
      </c>
      <c r="I27" s="17">
        <f>SetEnemyNormal!O32</f>
        <v>6</v>
      </c>
      <c r="J27" s="17">
        <f>SetEnemyNormal!P32</f>
        <v>1</v>
      </c>
      <c r="K27" s="17">
        <f>SetEnemyNormal!R32</f>
        <v>0</v>
      </c>
      <c r="L27" s="17">
        <f>SetEnemyNormal!S32</f>
        <v>0</v>
      </c>
    </row>
    <row r="28" spans="1:12" x14ac:dyDescent="0.15">
      <c r="A28" s="18">
        <f>SetEnemyNormal!B33</f>
        <v>2350</v>
      </c>
      <c r="B28" s="18">
        <f>SetEnemyNormal!D33</f>
        <v>3</v>
      </c>
      <c r="C28" s="18">
        <f>SetEnemyNormal!F33</f>
        <v>1</v>
      </c>
      <c r="D28" s="18">
        <f>SetEnemyNormal!H33</f>
        <v>0</v>
      </c>
      <c r="E28" s="18">
        <f>SetEnemyNormal!J33</f>
        <v>0</v>
      </c>
      <c r="F28" s="18">
        <f>SetEnemyNormal!L33</f>
        <v>3</v>
      </c>
      <c r="G28" s="18">
        <f>SetEnemyNormal!M33</f>
        <v>7</v>
      </c>
      <c r="H28" s="18">
        <f>SetEnemyNormal!N33</f>
        <v>20</v>
      </c>
      <c r="I28" s="18">
        <f>SetEnemyNormal!O33</f>
        <v>6</v>
      </c>
      <c r="J28" s="18">
        <f>SetEnemyNormal!P33</f>
        <v>1</v>
      </c>
      <c r="K28" s="18">
        <f>SetEnemyNormal!R33</f>
        <v>0</v>
      </c>
      <c r="L28" s="18">
        <f>SetEnemyNormal!S33</f>
        <v>0</v>
      </c>
    </row>
    <row r="29" spans="1:12" x14ac:dyDescent="0.15">
      <c r="A29" s="17">
        <f>SetEnemyNormal!B34</f>
        <v>2350</v>
      </c>
      <c r="B29" s="17">
        <f>SetEnemyNormal!D34</f>
        <v>4</v>
      </c>
      <c r="C29" s="17">
        <f>SetEnemyNormal!F34</f>
        <v>7</v>
      </c>
      <c r="D29" s="17">
        <f>SetEnemyNormal!H34</f>
        <v>2</v>
      </c>
      <c r="E29" s="17">
        <f>SetEnemyNormal!J34</f>
        <v>0</v>
      </c>
      <c r="F29" s="17">
        <f>SetEnemyNormal!L34</f>
        <v>4</v>
      </c>
      <c r="G29" s="17">
        <f>SetEnemyNormal!M34</f>
        <v>7</v>
      </c>
      <c r="H29" s="17">
        <f>SetEnemyNormal!N34</f>
        <v>20</v>
      </c>
      <c r="I29" s="17">
        <f>SetEnemyNormal!O34</f>
        <v>6</v>
      </c>
      <c r="J29" s="17">
        <f>SetEnemyNormal!P34</f>
        <v>1</v>
      </c>
      <c r="K29" s="17">
        <f>SetEnemyNormal!R34</f>
        <v>0</v>
      </c>
      <c r="L29" s="17">
        <f>SetEnemyNormal!S34</f>
        <v>0</v>
      </c>
    </row>
    <row r="30" spans="1:12" x14ac:dyDescent="0.15">
      <c r="A30" s="18">
        <f>SetEnemyNormal!B35</f>
        <v>2400</v>
      </c>
      <c r="B30" s="18">
        <f>SetEnemyNormal!D35</f>
        <v>4</v>
      </c>
      <c r="C30" s="18">
        <f>SetEnemyNormal!F35</f>
        <v>7</v>
      </c>
      <c r="D30" s="18">
        <f>SetEnemyNormal!H35</f>
        <v>2</v>
      </c>
      <c r="E30" s="18">
        <f>SetEnemyNormal!J35</f>
        <v>0</v>
      </c>
      <c r="F30" s="18">
        <f>SetEnemyNormal!L35</f>
        <v>4</v>
      </c>
      <c r="G30" s="18">
        <f>SetEnemyNormal!M35</f>
        <v>7</v>
      </c>
      <c r="H30" s="18">
        <f>SetEnemyNormal!N35</f>
        <v>20</v>
      </c>
      <c r="I30" s="18">
        <f>SetEnemyNormal!O35</f>
        <v>6</v>
      </c>
      <c r="J30" s="18">
        <f>SetEnemyNormal!P35</f>
        <v>1</v>
      </c>
      <c r="K30" s="18">
        <f>SetEnemyNormal!R35</f>
        <v>0</v>
      </c>
      <c r="L30" s="18">
        <f>SetEnemyNormal!S35</f>
        <v>0</v>
      </c>
    </row>
    <row r="31" spans="1:12" x14ac:dyDescent="0.15">
      <c r="A31" s="17">
        <f>SetEnemyNormal!B36</f>
        <v>2450</v>
      </c>
      <c r="B31" s="17">
        <f>SetEnemyNormal!D36</f>
        <v>4</v>
      </c>
      <c r="C31" s="17">
        <f>SetEnemyNormal!F36</f>
        <v>7</v>
      </c>
      <c r="D31" s="17">
        <f>SetEnemyNormal!H36</f>
        <v>2</v>
      </c>
      <c r="E31" s="17">
        <f>SetEnemyNormal!J36</f>
        <v>0</v>
      </c>
      <c r="F31" s="17">
        <f>SetEnemyNormal!L36</f>
        <v>4</v>
      </c>
      <c r="G31" s="17">
        <f>SetEnemyNormal!M36</f>
        <v>7</v>
      </c>
      <c r="H31" s="17">
        <f>SetEnemyNormal!N36</f>
        <v>20</v>
      </c>
      <c r="I31" s="17">
        <f>SetEnemyNormal!O36</f>
        <v>6</v>
      </c>
      <c r="J31" s="17">
        <f>SetEnemyNormal!P36</f>
        <v>1</v>
      </c>
      <c r="K31" s="17">
        <f>SetEnemyNormal!R36</f>
        <v>0</v>
      </c>
      <c r="L31" s="17">
        <f>SetEnemyNormal!S36</f>
        <v>0</v>
      </c>
    </row>
    <row r="32" spans="1:12" x14ac:dyDescent="0.15">
      <c r="A32" s="18">
        <f>SetEnemyNormal!B37</f>
        <v>2650</v>
      </c>
      <c r="B32" s="18">
        <f>SetEnemyNormal!D37</f>
        <v>2</v>
      </c>
      <c r="C32" s="18">
        <f>SetEnemyNormal!F37</f>
        <v>2</v>
      </c>
      <c r="D32" s="18">
        <f>SetEnemyNormal!H37</f>
        <v>2</v>
      </c>
      <c r="E32" s="18">
        <f>SetEnemyNormal!J37</f>
        <v>0</v>
      </c>
      <c r="F32" s="18">
        <f>SetEnemyNormal!L37</f>
        <v>2</v>
      </c>
      <c r="G32" s="18">
        <f>SetEnemyNormal!M37</f>
        <v>7</v>
      </c>
      <c r="H32" s="18">
        <f>SetEnemyNormal!N37</f>
        <v>20</v>
      </c>
      <c r="I32" s="18">
        <f>SetEnemyNormal!O37</f>
        <v>6</v>
      </c>
      <c r="J32" s="18">
        <f>SetEnemyNormal!P37</f>
        <v>1</v>
      </c>
      <c r="K32" s="18">
        <f>SetEnemyNormal!R37</f>
        <v>0</v>
      </c>
      <c r="L32" s="18">
        <f>SetEnemyNormal!S37</f>
        <v>0</v>
      </c>
    </row>
    <row r="33" spans="1:12" x14ac:dyDescent="0.15">
      <c r="A33" s="17">
        <f>SetEnemyNormal!B38</f>
        <v>2700</v>
      </c>
      <c r="B33" s="17">
        <f>SetEnemyNormal!D38</f>
        <v>2</v>
      </c>
      <c r="C33" s="17">
        <f>SetEnemyNormal!F38</f>
        <v>2</v>
      </c>
      <c r="D33" s="17">
        <f>SetEnemyNormal!H38</f>
        <v>2</v>
      </c>
      <c r="E33" s="17">
        <f>SetEnemyNormal!J38</f>
        <v>0</v>
      </c>
      <c r="F33" s="17">
        <f>SetEnemyNormal!L38</f>
        <v>2</v>
      </c>
      <c r="G33" s="17">
        <f>SetEnemyNormal!M38</f>
        <v>7</v>
      </c>
      <c r="H33" s="17">
        <f>SetEnemyNormal!N38</f>
        <v>20</v>
      </c>
      <c r="I33" s="17">
        <f>SetEnemyNormal!O38</f>
        <v>6</v>
      </c>
      <c r="J33" s="17">
        <f>SetEnemyNormal!P38</f>
        <v>1</v>
      </c>
      <c r="K33" s="17">
        <f>SetEnemyNormal!R38</f>
        <v>0</v>
      </c>
      <c r="L33" s="17">
        <f>SetEnemyNormal!S38</f>
        <v>0</v>
      </c>
    </row>
    <row r="34" spans="1:12" x14ac:dyDescent="0.15">
      <c r="A34" s="18">
        <f>SetEnemyNormal!B39</f>
        <v>2750</v>
      </c>
      <c r="B34" s="18">
        <f>SetEnemyNormal!D39</f>
        <v>2</v>
      </c>
      <c r="C34" s="18">
        <f>SetEnemyNormal!F39</f>
        <v>2</v>
      </c>
      <c r="D34" s="18">
        <f>SetEnemyNormal!H39</f>
        <v>2</v>
      </c>
      <c r="E34" s="18">
        <f>SetEnemyNormal!J39</f>
        <v>0</v>
      </c>
      <c r="F34" s="18">
        <f>SetEnemyNormal!L39</f>
        <v>2</v>
      </c>
      <c r="G34" s="18">
        <f>SetEnemyNormal!M39</f>
        <v>7</v>
      </c>
      <c r="H34" s="18">
        <f>SetEnemyNormal!N39</f>
        <v>20</v>
      </c>
      <c r="I34" s="18">
        <f>SetEnemyNormal!O39</f>
        <v>6</v>
      </c>
      <c r="J34" s="18">
        <f>SetEnemyNormal!P39</f>
        <v>1</v>
      </c>
      <c r="K34" s="18">
        <f>SetEnemyNormal!R39</f>
        <v>0</v>
      </c>
      <c r="L34" s="18">
        <f>SetEnemyNormal!S39</f>
        <v>0</v>
      </c>
    </row>
    <row r="35" spans="1:12" x14ac:dyDescent="0.15">
      <c r="A35" s="17">
        <f>SetEnemyNormal!B40</f>
        <v>2900</v>
      </c>
      <c r="B35" s="17">
        <f>SetEnemyNormal!D40</f>
        <v>8</v>
      </c>
      <c r="C35" s="17">
        <f>SetEnemyNormal!F40</f>
        <v>7</v>
      </c>
      <c r="D35" s="17">
        <f>SetEnemyNormal!H40</f>
        <v>8</v>
      </c>
      <c r="E35" s="17">
        <f>SetEnemyNormal!J40</f>
        <v>1</v>
      </c>
      <c r="F35" s="17">
        <f>SetEnemyNormal!L40</f>
        <v>25</v>
      </c>
      <c r="G35" s="17">
        <f>SetEnemyNormal!M40</f>
        <v>5</v>
      </c>
      <c r="H35" s="17">
        <f>SetEnemyNormal!N40</f>
        <v>40</v>
      </c>
      <c r="I35" s="17">
        <f>SetEnemyNormal!O40</f>
        <v>0</v>
      </c>
      <c r="J35" s="17">
        <f>SetEnemyNormal!P40</f>
        <v>20</v>
      </c>
      <c r="K35" s="17">
        <f>SetEnemyNormal!R40</f>
        <v>0</v>
      </c>
      <c r="L35" s="17">
        <f>SetEnemyNormal!S40</f>
        <v>0</v>
      </c>
    </row>
    <row r="36" spans="1:12" x14ac:dyDescent="0.15">
      <c r="A36" s="18">
        <f>SetEnemyNormal!B41</f>
        <v>2950</v>
      </c>
      <c r="B36" s="18">
        <f>SetEnemyNormal!D41</f>
        <v>0</v>
      </c>
      <c r="C36" s="18">
        <f>SetEnemyNormal!F41</f>
        <v>2</v>
      </c>
      <c r="D36" s="18">
        <f>SetEnemyNormal!H41</f>
        <v>4</v>
      </c>
      <c r="E36" s="18">
        <f>SetEnemyNormal!J41</f>
        <v>0</v>
      </c>
      <c r="F36" s="18">
        <f>SetEnemyNormal!L41</f>
        <v>0</v>
      </c>
      <c r="G36" s="18">
        <f>SetEnemyNormal!M41</f>
        <v>7</v>
      </c>
      <c r="H36" s="18">
        <f>SetEnemyNormal!N41</f>
        <v>1</v>
      </c>
      <c r="I36" s="18">
        <f>SetEnemyNormal!O41</f>
        <v>1</v>
      </c>
      <c r="J36" s="18">
        <f>SetEnemyNormal!P41</f>
        <v>1</v>
      </c>
      <c r="K36" s="18">
        <f>SetEnemyNormal!R41</f>
        <v>0</v>
      </c>
      <c r="L36" s="18">
        <f>SetEnemyNormal!S41</f>
        <v>0</v>
      </c>
    </row>
    <row r="37" spans="1:12" x14ac:dyDescent="0.15">
      <c r="A37" s="17">
        <f>SetEnemyNormal!B42</f>
        <v>3000</v>
      </c>
      <c r="B37" s="17">
        <f>SetEnemyNormal!D42</f>
        <v>8</v>
      </c>
      <c r="C37" s="17">
        <f>SetEnemyNormal!F42</f>
        <v>1</v>
      </c>
      <c r="D37" s="17">
        <f>SetEnemyNormal!H42</f>
        <v>8</v>
      </c>
      <c r="E37" s="17">
        <f>SetEnemyNormal!J42</f>
        <v>1</v>
      </c>
      <c r="F37" s="17">
        <f>SetEnemyNormal!L42</f>
        <v>25</v>
      </c>
      <c r="G37" s="17">
        <f>SetEnemyNormal!M42</f>
        <v>5</v>
      </c>
      <c r="H37" s="17">
        <f>SetEnemyNormal!N42</f>
        <v>40</v>
      </c>
      <c r="I37" s="17">
        <f>SetEnemyNormal!O42</f>
        <v>0</v>
      </c>
      <c r="J37" s="17">
        <f>SetEnemyNormal!P42</f>
        <v>20</v>
      </c>
      <c r="K37" s="17">
        <f>SetEnemyNormal!R42</f>
        <v>0</v>
      </c>
      <c r="L37" s="17">
        <f>SetEnemyNormal!S42</f>
        <v>0</v>
      </c>
    </row>
    <row r="38" spans="1:12" x14ac:dyDescent="0.15">
      <c r="A38" s="18">
        <f>SetEnemyNormal!B43</f>
        <v>3000</v>
      </c>
      <c r="B38" s="18">
        <f>SetEnemyNormal!D43</f>
        <v>0</v>
      </c>
      <c r="C38" s="18">
        <f>SetEnemyNormal!F43</f>
        <v>2</v>
      </c>
      <c r="D38" s="18">
        <f>SetEnemyNormal!H43</f>
        <v>4</v>
      </c>
      <c r="E38" s="18">
        <f>SetEnemyNormal!J43</f>
        <v>0</v>
      </c>
      <c r="F38" s="18">
        <f>SetEnemyNormal!L43</f>
        <v>0</v>
      </c>
      <c r="G38" s="18">
        <f>SetEnemyNormal!M43</f>
        <v>7</v>
      </c>
      <c r="H38" s="18">
        <f>SetEnemyNormal!N43</f>
        <v>1</v>
      </c>
      <c r="I38" s="18">
        <f>SetEnemyNormal!O43</f>
        <v>1</v>
      </c>
      <c r="J38" s="18">
        <f>SetEnemyNormal!P43</f>
        <v>1</v>
      </c>
      <c r="K38" s="18">
        <f>SetEnemyNormal!R43</f>
        <v>0</v>
      </c>
      <c r="L38" s="18">
        <f>SetEnemyNormal!S43</f>
        <v>0</v>
      </c>
    </row>
    <row r="39" spans="1:12" x14ac:dyDescent="0.15">
      <c r="A39" s="17">
        <f>SetEnemyNormal!B44</f>
        <v>3050</v>
      </c>
      <c r="B39" s="17">
        <f>SetEnemyNormal!D44</f>
        <v>0</v>
      </c>
      <c r="C39" s="17">
        <f>SetEnemyNormal!F44</f>
        <v>2</v>
      </c>
      <c r="D39" s="17">
        <f>SetEnemyNormal!H44</f>
        <v>4</v>
      </c>
      <c r="E39" s="17">
        <f>SetEnemyNormal!J44</f>
        <v>0</v>
      </c>
      <c r="F39" s="17">
        <f>SetEnemyNormal!L44</f>
        <v>0</v>
      </c>
      <c r="G39" s="17">
        <f>SetEnemyNormal!M44</f>
        <v>7</v>
      </c>
      <c r="H39" s="17">
        <f>SetEnemyNormal!N44</f>
        <v>1</v>
      </c>
      <c r="I39" s="17">
        <f>SetEnemyNormal!O44</f>
        <v>1</v>
      </c>
      <c r="J39" s="17">
        <f>SetEnemyNormal!P44</f>
        <v>1</v>
      </c>
      <c r="K39" s="17">
        <f>SetEnemyNormal!R44</f>
        <v>0</v>
      </c>
      <c r="L39" s="17">
        <f>SetEnemyNormal!S44</f>
        <v>0</v>
      </c>
    </row>
    <row r="40" spans="1:12" x14ac:dyDescent="0.15">
      <c r="A40" s="18">
        <f>SetEnemyNormal!B45</f>
        <v>3100</v>
      </c>
      <c r="B40" s="18">
        <f>SetEnemyNormal!D45</f>
        <v>8</v>
      </c>
      <c r="C40" s="18">
        <f>SetEnemyNormal!F45</f>
        <v>4</v>
      </c>
      <c r="D40" s="18">
        <f>SetEnemyNormal!H45</f>
        <v>8</v>
      </c>
      <c r="E40" s="18">
        <f>SetEnemyNormal!J45</f>
        <v>1</v>
      </c>
      <c r="F40" s="18">
        <f>SetEnemyNormal!L45</f>
        <v>25</v>
      </c>
      <c r="G40" s="18">
        <f>SetEnemyNormal!M45</f>
        <v>5</v>
      </c>
      <c r="H40" s="18">
        <f>SetEnemyNormal!N45</f>
        <v>40</v>
      </c>
      <c r="I40" s="18">
        <f>SetEnemyNormal!O45</f>
        <v>0</v>
      </c>
      <c r="J40" s="18">
        <f>SetEnemyNormal!P45</f>
        <v>20</v>
      </c>
      <c r="K40" s="18">
        <f>SetEnemyNormal!R45</f>
        <v>0</v>
      </c>
      <c r="L40" s="18">
        <f>SetEnemyNormal!S45</f>
        <v>0</v>
      </c>
    </row>
    <row r="41" spans="1:12" x14ac:dyDescent="0.15">
      <c r="A41" s="17">
        <f>SetEnemyNormal!B46</f>
        <v>3150</v>
      </c>
      <c r="B41" s="17">
        <f>SetEnemyNormal!D46</f>
        <v>5</v>
      </c>
      <c r="C41" s="17">
        <f>SetEnemyNormal!F46</f>
        <v>4</v>
      </c>
      <c r="D41" s="17">
        <f>SetEnemyNormal!H46</f>
        <v>4</v>
      </c>
      <c r="E41" s="17">
        <f>SetEnemyNormal!J46</f>
        <v>0</v>
      </c>
      <c r="F41" s="17">
        <f>SetEnemyNormal!L46</f>
        <v>5</v>
      </c>
      <c r="G41" s="17">
        <f>SetEnemyNormal!M46</f>
        <v>7</v>
      </c>
      <c r="H41" s="17">
        <f>SetEnemyNormal!N46</f>
        <v>1</v>
      </c>
      <c r="I41" s="17">
        <f>SetEnemyNormal!O46</f>
        <v>1</v>
      </c>
      <c r="J41" s="17">
        <f>SetEnemyNormal!P46</f>
        <v>1</v>
      </c>
      <c r="K41" s="17">
        <f>SetEnemyNormal!R46</f>
        <v>0</v>
      </c>
      <c r="L41" s="17">
        <f>SetEnemyNormal!S46</f>
        <v>0</v>
      </c>
    </row>
    <row r="42" spans="1:12" x14ac:dyDescent="0.15">
      <c r="A42" s="18">
        <f>SetEnemyNormal!B47</f>
        <v>3200</v>
      </c>
      <c r="B42" s="18">
        <f>SetEnemyNormal!D47</f>
        <v>5</v>
      </c>
      <c r="C42" s="18">
        <f>SetEnemyNormal!F47</f>
        <v>4</v>
      </c>
      <c r="D42" s="18">
        <f>SetEnemyNormal!H47</f>
        <v>4</v>
      </c>
      <c r="E42" s="18">
        <f>SetEnemyNormal!J47</f>
        <v>0</v>
      </c>
      <c r="F42" s="18">
        <f>SetEnemyNormal!L47</f>
        <v>5</v>
      </c>
      <c r="G42" s="18">
        <f>SetEnemyNormal!M47</f>
        <v>7</v>
      </c>
      <c r="H42" s="18">
        <f>SetEnemyNormal!N47</f>
        <v>1</v>
      </c>
      <c r="I42" s="18">
        <f>SetEnemyNormal!O47</f>
        <v>1</v>
      </c>
      <c r="J42" s="18">
        <f>SetEnemyNormal!P47</f>
        <v>1</v>
      </c>
      <c r="K42" s="18">
        <f>SetEnemyNormal!R47</f>
        <v>0</v>
      </c>
      <c r="L42" s="18">
        <f>SetEnemyNormal!S47</f>
        <v>0</v>
      </c>
    </row>
    <row r="43" spans="1:12" x14ac:dyDescent="0.15">
      <c r="A43" s="17">
        <f>SetEnemyNormal!B48</f>
        <v>3250</v>
      </c>
      <c r="B43" s="17">
        <f>SetEnemyNormal!D48</f>
        <v>5</v>
      </c>
      <c r="C43" s="17">
        <f>SetEnemyNormal!F48</f>
        <v>4</v>
      </c>
      <c r="D43" s="17">
        <f>SetEnemyNormal!H48</f>
        <v>4</v>
      </c>
      <c r="E43" s="17">
        <f>SetEnemyNormal!J48</f>
        <v>0</v>
      </c>
      <c r="F43" s="17">
        <f>SetEnemyNormal!L48</f>
        <v>5</v>
      </c>
      <c r="G43" s="17">
        <f>SetEnemyNormal!M48</f>
        <v>7</v>
      </c>
      <c r="H43" s="17">
        <f>SetEnemyNormal!N48</f>
        <v>1</v>
      </c>
      <c r="I43" s="17">
        <f>SetEnemyNormal!O48</f>
        <v>1</v>
      </c>
      <c r="J43" s="17">
        <f>SetEnemyNormal!P48</f>
        <v>1</v>
      </c>
      <c r="K43" s="17">
        <f>SetEnemyNormal!R48</f>
        <v>0</v>
      </c>
      <c r="L43" s="17">
        <f>SetEnemyNormal!S48</f>
        <v>0</v>
      </c>
    </row>
    <row r="44" spans="1:12" x14ac:dyDescent="0.15">
      <c r="A44" s="18">
        <f>SetEnemyNormal!B49</f>
        <v>3550</v>
      </c>
      <c r="B44" s="18">
        <f>SetEnemyNormal!D49</f>
        <v>7</v>
      </c>
      <c r="C44" s="18">
        <f>SetEnemyNormal!F49</f>
        <v>4</v>
      </c>
      <c r="D44" s="18">
        <f>SetEnemyNormal!H49</f>
        <v>7</v>
      </c>
      <c r="E44" s="18">
        <f>SetEnemyNormal!J49</f>
        <v>5</v>
      </c>
      <c r="F44" s="18">
        <f>SetEnemyNormal!L49</f>
        <v>5</v>
      </c>
      <c r="G44" s="18">
        <f>SetEnemyNormal!M49</f>
        <v>5</v>
      </c>
      <c r="H44" s="18">
        <f>SetEnemyNormal!N49</f>
        <v>30</v>
      </c>
      <c r="I44" s="18">
        <f>SetEnemyNormal!O49</f>
        <v>10</v>
      </c>
      <c r="J44" s="18">
        <f>SetEnemyNormal!P49</f>
        <v>11</v>
      </c>
      <c r="K44" s="18">
        <f>SetEnemyNormal!R49</f>
        <v>0</v>
      </c>
      <c r="L44" s="18">
        <f>SetEnemyNormal!S49</f>
        <v>0</v>
      </c>
    </row>
    <row r="45" spans="1:12" x14ac:dyDescent="0.15">
      <c r="A45" s="17">
        <f>SetEnemyNormal!B50</f>
        <v>3550</v>
      </c>
      <c r="B45" s="17">
        <f>SetEnemyNormal!D50</f>
        <v>0</v>
      </c>
      <c r="C45" s="17">
        <f>SetEnemyNormal!F50</f>
        <v>7</v>
      </c>
      <c r="D45" s="17">
        <f>SetEnemyNormal!H50</f>
        <v>1</v>
      </c>
      <c r="E45" s="17">
        <f>SetEnemyNormal!J50</f>
        <v>0</v>
      </c>
      <c r="F45" s="17">
        <f>SetEnemyNormal!L50</f>
        <v>0</v>
      </c>
      <c r="G45" s="17">
        <f>SetEnemyNormal!M50</f>
        <v>7</v>
      </c>
      <c r="H45" s="17">
        <f>SetEnemyNormal!N50</f>
        <v>20</v>
      </c>
      <c r="I45" s="17">
        <f>SetEnemyNormal!O50</f>
        <v>6</v>
      </c>
      <c r="J45" s="17">
        <f>SetEnemyNormal!P50</f>
        <v>1</v>
      </c>
      <c r="K45" s="17">
        <f>SetEnemyNormal!R50</f>
        <v>0</v>
      </c>
      <c r="L45" s="17">
        <f>SetEnemyNormal!S50</f>
        <v>0</v>
      </c>
    </row>
    <row r="46" spans="1:12" x14ac:dyDescent="0.15">
      <c r="A46" s="18">
        <f>SetEnemyNormal!B51</f>
        <v>3600</v>
      </c>
      <c r="B46" s="18">
        <f>SetEnemyNormal!D51</f>
        <v>0</v>
      </c>
      <c r="C46" s="18">
        <f>SetEnemyNormal!F51</f>
        <v>7</v>
      </c>
      <c r="D46" s="18">
        <f>SetEnemyNormal!H51</f>
        <v>1</v>
      </c>
      <c r="E46" s="18">
        <f>SetEnemyNormal!J51</f>
        <v>0</v>
      </c>
      <c r="F46" s="18">
        <f>SetEnemyNormal!L51</f>
        <v>0</v>
      </c>
      <c r="G46" s="18">
        <f>SetEnemyNormal!M51</f>
        <v>7</v>
      </c>
      <c r="H46" s="18">
        <f>SetEnemyNormal!N51</f>
        <v>20</v>
      </c>
      <c r="I46" s="18">
        <f>SetEnemyNormal!O51</f>
        <v>6</v>
      </c>
      <c r="J46" s="18">
        <f>SetEnemyNormal!P51</f>
        <v>1</v>
      </c>
      <c r="K46" s="18">
        <f>SetEnemyNormal!R51</f>
        <v>0</v>
      </c>
      <c r="L46" s="18">
        <f>SetEnemyNormal!S51</f>
        <v>0</v>
      </c>
    </row>
    <row r="47" spans="1:12" x14ac:dyDescent="0.15">
      <c r="A47" s="17">
        <f>SetEnemyNormal!B52</f>
        <v>3650</v>
      </c>
      <c r="B47" s="17">
        <f>SetEnemyNormal!D52</f>
        <v>0</v>
      </c>
      <c r="C47" s="17">
        <f>SetEnemyNormal!F52</f>
        <v>7</v>
      </c>
      <c r="D47" s="17">
        <f>SetEnemyNormal!H52</f>
        <v>1</v>
      </c>
      <c r="E47" s="17">
        <f>SetEnemyNormal!J52</f>
        <v>0</v>
      </c>
      <c r="F47" s="17">
        <f>SetEnemyNormal!L52</f>
        <v>0</v>
      </c>
      <c r="G47" s="17">
        <f>SetEnemyNormal!M52</f>
        <v>7</v>
      </c>
      <c r="H47" s="17">
        <f>SetEnemyNormal!N52</f>
        <v>20</v>
      </c>
      <c r="I47" s="17">
        <f>SetEnemyNormal!O52</f>
        <v>6</v>
      </c>
      <c r="J47" s="17">
        <f>SetEnemyNormal!P52</f>
        <v>1</v>
      </c>
      <c r="K47" s="17">
        <f>SetEnemyNormal!R52</f>
        <v>0</v>
      </c>
      <c r="L47" s="17">
        <f>SetEnemyNormal!S52</f>
        <v>0</v>
      </c>
    </row>
    <row r="48" spans="1:12" x14ac:dyDescent="0.15">
      <c r="A48" s="18">
        <f>SetEnemyNormal!B53</f>
        <v>3750</v>
      </c>
      <c r="B48" s="18">
        <f>SetEnemyNormal!D53</f>
        <v>0</v>
      </c>
      <c r="C48" s="18">
        <f>SetEnemyNormal!F53</f>
        <v>7</v>
      </c>
      <c r="D48" s="18">
        <f>SetEnemyNormal!H53</f>
        <v>4</v>
      </c>
      <c r="E48" s="18">
        <f>SetEnemyNormal!J53</f>
        <v>0</v>
      </c>
      <c r="F48" s="18">
        <f>SetEnemyNormal!L53</f>
        <v>0</v>
      </c>
      <c r="G48" s="18">
        <f>SetEnemyNormal!M53</f>
        <v>7</v>
      </c>
      <c r="H48" s="18">
        <f>SetEnemyNormal!N53</f>
        <v>1</v>
      </c>
      <c r="I48" s="18">
        <f>SetEnemyNormal!O53</f>
        <v>1</v>
      </c>
      <c r="J48" s="18">
        <f>SetEnemyNormal!P53</f>
        <v>1</v>
      </c>
      <c r="K48" s="18">
        <f>SetEnemyNormal!R53</f>
        <v>0</v>
      </c>
      <c r="L48" s="18">
        <f>SetEnemyNormal!S53</f>
        <v>0</v>
      </c>
    </row>
    <row r="49" spans="1:12" x14ac:dyDescent="0.15">
      <c r="A49" s="17">
        <f>SetEnemyNormal!B54</f>
        <v>3800</v>
      </c>
      <c r="B49" s="17">
        <f>SetEnemyNormal!D54</f>
        <v>0</v>
      </c>
      <c r="C49" s="17">
        <f>SetEnemyNormal!F54</f>
        <v>7</v>
      </c>
      <c r="D49" s="17">
        <f>SetEnemyNormal!H54</f>
        <v>4</v>
      </c>
      <c r="E49" s="17">
        <f>SetEnemyNormal!J54</f>
        <v>0</v>
      </c>
      <c r="F49" s="17">
        <f>SetEnemyNormal!L54</f>
        <v>0</v>
      </c>
      <c r="G49" s="17">
        <f>SetEnemyNormal!M54</f>
        <v>7</v>
      </c>
      <c r="H49" s="17">
        <f>SetEnemyNormal!N54</f>
        <v>1</v>
      </c>
      <c r="I49" s="17">
        <f>SetEnemyNormal!O54</f>
        <v>1</v>
      </c>
      <c r="J49" s="17">
        <f>SetEnemyNormal!P54</f>
        <v>1</v>
      </c>
      <c r="K49" s="17">
        <f>SetEnemyNormal!R54</f>
        <v>0</v>
      </c>
      <c r="L49" s="17">
        <f>SetEnemyNormal!S54</f>
        <v>0</v>
      </c>
    </row>
    <row r="50" spans="1:12" x14ac:dyDescent="0.15">
      <c r="A50" s="18">
        <f>SetEnemyNormal!B55</f>
        <v>3800</v>
      </c>
      <c r="B50" s="18">
        <f>SetEnemyNormal!D55</f>
        <v>7</v>
      </c>
      <c r="C50" s="18">
        <f>SetEnemyNormal!F55</f>
        <v>4</v>
      </c>
      <c r="D50" s="18">
        <f>SetEnemyNormal!H55</f>
        <v>7</v>
      </c>
      <c r="E50" s="18">
        <f>SetEnemyNormal!J55</f>
        <v>5</v>
      </c>
      <c r="F50" s="18">
        <f>SetEnemyNormal!L55</f>
        <v>4</v>
      </c>
      <c r="G50" s="18">
        <f>SetEnemyNormal!M55</f>
        <v>5</v>
      </c>
      <c r="H50" s="18">
        <f>SetEnemyNormal!N55</f>
        <v>30</v>
      </c>
      <c r="I50" s="18">
        <f>SetEnemyNormal!O55</f>
        <v>10</v>
      </c>
      <c r="J50" s="18">
        <f>SetEnemyNormal!P55</f>
        <v>11</v>
      </c>
      <c r="K50" s="18">
        <f>SetEnemyNormal!R55</f>
        <v>0</v>
      </c>
      <c r="L50" s="18">
        <f>SetEnemyNormal!S55</f>
        <v>0</v>
      </c>
    </row>
    <row r="51" spans="1:12" x14ac:dyDescent="0.15">
      <c r="A51" s="17">
        <f>SetEnemyNormal!B56</f>
        <v>3850</v>
      </c>
      <c r="B51" s="17">
        <f>SetEnemyNormal!D56</f>
        <v>0</v>
      </c>
      <c r="C51" s="17">
        <f>SetEnemyNormal!F56</f>
        <v>7</v>
      </c>
      <c r="D51" s="17">
        <f>SetEnemyNormal!H56</f>
        <v>4</v>
      </c>
      <c r="E51" s="17">
        <f>SetEnemyNormal!J56</f>
        <v>0</v>
      </c>
      <c r="F51" s="17">
        <f>SetEnemyNormal!L56</f>
        <v>0</v>
      </c>
      <c r="G51" s="17">
        <f>SetEnemyNormal!M56</f>
        <v>7</v>
      </c>
      <c r="H51" s="17">
        <f>SetEnemyNormal!N56</f>
        <v>1</v>
      </c>
      <c r="I51" s="17">
        <f>SetEnemyNormal!O56</f>
        <v>1</v>
      </c>
      <c r="J51" s="17">
        <f>SetEnemyNormal!P56</f>
        <v>1</v>
      </c>
      <c r="K51" s="17">
        <f>SetEnemyNormal!R56</f>
        <v>0</v>
      </c>
      <c r="L51" s="17">
        <f>SetEnemyNormal!S56</f>
        <v>0</v>
      </c>
    </row>
    <row r="52" spans="1:12" x14ac:dyDescent="0.15">
      <c r="A52" s="18">
        <f>SetEnemyNormal!B57</f>
        <v>3900</v>
      </c>
      <c r="B52" s="18">
        <f>SetEnemyNormal!D57</f>
        <v>7</v>
      </c>
      <c r="C52" s="18">
        <f>SetEnemyNormal!F57</f>
        <v>2</v>
      </c>
      <c r="D52" s="18">
        <f>SetEnemyNormal!H57</f>
        <v>7</v>
      </c>
      <c r="E52" s="18">
        <f>SetEnemyNormal!J57</f>
        <v>5</v>
      </c>
      <c r="F52" s="18">
        <f>SetEnemyNormal!L57</f>
        <v>4</v>
      </c>
      <c r="G52" s="18">
        <f>SetEnemyNormal!M57</f>
        <v>5</v>
      </c>
      <c r="H52" s="18">
        <f>SetEnemyNormal!N57</f>
        <v>30</v>
      </c>
      <c r="I52" s="18">
        <f>SetEnemyNormal!O57</f>
        <v>10</v>
      </c>
      <c r="J52" s="18">
        <f>SetEnemyNormal!P57</f>
        <v>11</v>
      </c>
      <c r="K52" s="18">
        <f>SetEnemyNormal!R57</f>
        <v>0</v>
      </c>
      <c r="L52" s="18">
        <f>SetEnemyNormal!S57</f>
        <v>0</v>
      </c>
    </row>
    <row r="53" spans="1:12" x14ac:dyDescent="0.15">
      <c r="A53" s="17">
        <f>SetEnemyNormal!B58</f>
        <v>4000</v>
      </c>
      <c r="B53" s="17">
        <f>SetEnemyNormal!D58</f>
        <v>7</v>
      </c>
      <c r="C53" s="17">
        <f>SetEnemyNormal!F58</f>
        <v>6</v>
      </c>
      <c r="D53" s="17">
        <f>SetEnemyNormal!H58</f>
        <v>7</v>
      </c>
      <c r="E53" s="17">
        <f>SetEnemyNormal!J58</f>
        <v>5</v>
      </c>
      <c r="F53" s="17">
        <f>SetEnemyNormal!L58</f>
        <v>4</v>
      </c>
      <c r="G53" s="17">
        <f>SetEnemyNormal!M58</f>
        <v>5</v>
      </c>
      <c r="H53" s="17">
        <f>SetEnemyNormal!N58</f>
        <v>30</v>
      </c>
      <c r="I53" s="17">
        <f>SetEnemyNormal!O58</f>
        <v>10</v>
      </c>
      <c r="J53" s="17">
        <f>SetEnemyNormal!P58</f>
        <v>11</v>
      </c>
      <c r="K53" s="17">
        <f>SetEnemyNormal!R58</f>
        <v>0</v>
      </c>
      <c r="L53" s="17">
        <f>SetEnemyNormal!S58</f>
        <v>0</v>
      </c>
    </row>
    <row r="54" spans="1:12" x14ac:dyDescent="0.15">
      <c r="A54" s="18">
        <f>SetEnemyNormal!B59</f>
        <v>4150</v>
      </c>
      <c r="B54" s="18">
        <f>SetEnemyNormal!D59</f>
        <v>3</v>
      </c>
      <c r="C54" s="18">
        <f>SetEnemyNormal!F59</f>
        <v>1</v>
      </c>
      <c r="D54" s="18">
        <f>SetEnemyNormal!H59</f>
        <v>2</v>
      </c>
      <c r="E54" s="18">
        <f>SetEnemyNormal!J59</f>
        <v>0</v>
      </c>
      <c r="F54" s="18">
        <f>SetEnemyNormal!L59</f>
        <v>3</v>
      </c>
      <c r="G54" s="18">
        <f>SetEnemyNormal!M59</f>
        <v>7</v>
      </c>
      <c r="H54" s="18">
        <f>SetEnemyNormal!N59</f>
        <v>20</v>
      </c>
      <c r="I54" s="18">
        <f>SetEnemyNormal!O59</f>
        <v>6</v>
      </c>
      <c r="J54" s="18">
        <f>SetEnemyNormal!P59</f>
        <v>1</v>
      </c>
      <c r="K54" s="18">
        <f>SetEnemyNormal!R59</f>
        <v>0</v>
      </c>
      <c r="L54" s="18">
        <f>SetEnemyNormal!S59</f>
        <v>0</v>
      </c>
    </row>
    <row r="55" spans="1:12" x14ac:dyDescent="0.15">
      <c r="A55" s="17">
        <f>SetEnemyNormal!B60</f>
        <v>4200</v>
      </c>
      <c r="B55" s="17">
        <f>SetEnemyNormal!D60</f>
        <v>3</v>
      </c>
      <c r="C55" s="17">
        <f>SetEnemyNormal!F60</f>
        <v>1</v>
      </c>
      <c r="D55" s="17">
        <f>SetEnemyNormal!H60</f>
        <v>2</v>
      </c>
      <c r="E55" s="17">
        <f>SetEnemyNormal!J60</f>
        <v>0</v>
      </c>
      <c r="F55" s="17">
        <f>SetEnemyNormal!L60</f>
        <v>3</v>
      </c>
      <c r="G55" s="17">
        <f>SetEnemyNormal!M60</f>
        <v>7</v>
      </c>
      <c r="H55" s="17">
        <f>SetEnemyNormal!N60</f>
        <v>20</v>
      </c>
      <c r="I55" s="17">
        <f>SetEnemyNormal!O60</f>
        <v>6</v>
      </c>
      <c r="J55" s="17">
        <f>SetEnemyNormal!P60</f>
        <v>1</v>
      </c>
      <c r="K55" s="17">
        <f>SetEnemyNormal!R60</f>
        <v>0</v>
      </c>
      <c r="L55" s="17">
        <f>SetEnemyNormal!S60</f>
        <v>0</v>
      </c>
    </row>
    <row r="56" spans="1:12" x14ac:dyDescent="0.15">
      <c r="A56" s="18">
        <f>SetEnemyNormal!B61</f>
        <v>4250</v>
      </c>
      <c r="B56" s="18">
        <f>SetEnemyNormal!D61</f>
        <v>3</v>
      </c>
      <c r="C56" s="18">
        <f>SetEnemyNormal!F61</f>
        <v>1</v>
      </c>
      <c r="D56" s="18">
        <f>SetEnemyNormal!H61</f>
        <v>2</v>
      </c>
      <c r="E56" s="18">
        <f>SetEnemyNormal!J61</f>
        <v>0</v>
      </c>
      <c r="F56" s="18">
        <f>SetEnemyNormal!L61</f>
        <v>3</v>
      </c>
      <c r="G56" s="18">
        <f>SetEnemyNormal!M61</f>
        <v>7</v>
      </c>
      <c r="H56" s="18">
        <f>SetEnemyNormal!N61</f>
        <v>20</v>
      </c>
      <c r="I56" s="18">
        <f>SetEnemyNormal!O61</f>
        <v>6</v>
      </c>
      <c r="J56" s="18">
        <f>SetEnemyNormal!P61</f>
        <v>1</v>
      </c>
      <c r="K56" s="18">
        <f>SetEnemyNormal!R61</f>
        <v>0</v>
      </c>
      <c r="L56" s="18">
        <f>SetEnemyNormal!S61</f>
        <v>0</v>
      </c>
    </row>
    <row r="57" spans="1:12" x14ac:dyDescent="0.15">
      <c r="A57" s="17">
        <f>SetEnemyNormal!B62</f>
        <v>4350</v>
      </c>
      <c r="B57" s="17">
        <f>SetEnemyNormal!D62</f>
        <v>4</v>
      </c>
      <c r="C57" s="17">
        <f>SetEnemyNormal!F62</f>
        <v>7</v>
      </c>
      <c r="D57" s="17">
        <f>SetEnemyNormal!H62</f>
        <v>2</v>
      </c>
      <c r="E57" s="17">
        <f>SetEnemyNormal!J62</f>
        <v>0</v>
      </c>
      <c r="F57" s="17">
        <f>SetEnemyNormal!L62</f>
        <v>4</v>
      </c>
      <c r="G57" s="17">
        <f>SetEnemyNormal!M62</f>
        <v>7</v>
      </c>
      <c r="H57" s="17">
        <f>SetEnemyNormal!N62</f>
        <v>20</v>
      </c>
      <c r="I57" s="17">
        <f>SetEnemyNormal!O62</f>
        <v>6</v>
      </c>
      <c r="J57" s="17">
        <f>SetEnemyNormal!P62</f>
        <v>1</v>
      </c>
      <c r="K57" s="17">
        <f>SetEnemyNormal!R62</f>
        <v>0</v>
      </c>
      <c r="L57" s="17">
        <f>SetEnemyNormal!S62</f>
        <v>0</v>
      </c>
    </row>
    <row r="58" spans="1:12" x14ac:dyDescent="0.15">
      <c r="A58" s="18">
        <f>SetEnemyNormal!B63</f>
        <v>4400</v>
      </c>
      <c r="B58" s="18">
        <f>SetEnemyNormal!D63</f>
        <v>4</v>
      </c>
      <c r="C58" s="18">
        <f>SetEnemyNormal!F63</f>
        <v>7</v>
      </c>
      <c r="D58" s="18">
        <f>SetEnemyNormal!H63</f>
        <v>2</v>
      </c>
      <c r="E58" s="18">
        <f>SetEnemyNormal!J63</f>
        <v>0</v>
      </c>
      <c r="F58" s="18">
        <f>SetEnemyNormal!L63</f>
        <v>4</v>
      </c>
      <c r="G58" s="18">
        <f>SetEnemyNormal!M63</f>
        <v>7</v>
      </c>
      <c r="H58" s="18">
        <f>SetEnemyNormal!N63</f>
        <v>20</v>
      </c>
      <c r="I58" s="18">
        <f>SetEnemyNormal!O63</f>
        <v>6</v>
      </c>
      <c r="J58" s="18">
        <f>SetEnemyNormal!P63</f>
        <v>1</v>
      </c>
      <c r="K58" s="18">
        <f>SetEnemyNormal!R63</f>
        <v>0</v>
      </c>
      <c r="L58" s="18">
        <f>SetEnemyNormal!S63</f>
        <v>0</v>
      </c>
    </row>
    <row r="59" spans="1:12" x14ac:dyDescent="0.15">
      <c r="A59" s="17">
        <f>SetEnemyNormal!B64</f>
        <v>4450</v>
      </c>
      <c r="B59" s="17">
        <f>SetEnemyNormal!D64</f>
        <v>4</v>
      </c>
      <c r="C59" s="17">
        <f>SetEnemyNormal!F64</f>
        <v>7</v>
      </c>
      <c r="D59" s="17">
        <f>SetEnemyNormal!H64</f>
        <v>2</v>
      </c>
      <c r="E59" s="17">
        <f>SetEnemyNormal!J64</f>
        <v>0</v>
      </c>
      <c r="F59" s="17">
        <f>SetEnemyNormal!L64</f>
        <v>4</v>
      </c>
      <c r="G59" s="17">
        <f>SetEnemyNormal!M64</f>
        <v>7</v>
      </c>
      <c r="H59" s="17">
        <f>SetEnemyNormal!N64</f>
        <v>20</v>
      </c>
      <c r="I59" s="17">
        <f>SetEnemyNormal!O64</f>
        <v>6</v>
      </c>
      <c r="J59" s="17">
        <f>SetEnemyNormal!P64</f>
        <v>1</v>
      </c>
      <c r="K59" s="17">
        <f>SetEnemyNormal!R64</f>
        <v>0</v>
      </c>
      <c r="L59" s="17">
        <f>SetEnemyNormal!S64</f>
        <v>0</v>
      </c>
    </row>
    <row r="60" spans="1:12" x14ac:dyDescent="0.15">
      <c r="A60" s="18">
        <f>SetEnemyNormal!B65</f>
        <v>4550</v>
      </c>
      <c r="B60" s="18">
        <f>SetEnemyNormal!D65</f>
        <v>2</v>
      </c>
      <c r="C60" s="18">
        <f>SetEnemyNormal!F65</f>
        <v>2</v>
      </c>
      <c r="D60" s="18">
        <f>SetEnemyNormal!H65</f>
        <v>2</v>
      </c>
      <c r="E60" s="18">
        <f>SetEnemyNormal!J65</f>
        <v>0</v>
      </c>
      <c r="F60" s="18">
        <f>SetEnemyNormal!L65</f>
        <v>2</v>
      </c>
      <c r="G60" s="18">
        <f>SetEnemyNormal!M65</f>
        <v>7</v>
      </c>
      <c r="H60" s="18">
        <f>SetEnemyNormal!N65</f>
        <v>20</v>
      </c>
      <c r="I60" s="18">
        <f>SetEnemyNormal!O65</f>
        <v>6</v>
      </c>
      <c r="J60" s="18">
        <f>SetEnemyNormal!P65</f>
        <v>1</v>
      </c>
      <c r="K60" s="18">
        <f>SetEnemyNormal!R65</f>
        <v>0</v>
      </c>
      <c r="L60" s="18">
        <f>SetEnemyNormal!S65</f>
        <v>0</v>
      </c>
    </row>
    <row r="61" spans="1:12" x14ac:dyDescent="0.15">
      <c r="A61" s="17">
        <f>SetEnemyNormal!B66</f>
        <v>4600</v>
      </c>
      <c r="B61" s="17">
        <f>SetEnemyNormal!D66</f>
        <v>2</v>
      </c>
      <c r="C61" s="17">
        <f>SetEnemyNormal!F66</f>
        <v>2</v>
      </c>
      <c r="D61" s="17">
        <f>SetEnemyNormal!H66</f>
        <v>2</v>
      </c>
      <c r="E61" s="17">
        <f>SetEnemyNormal!J66</f>
        <v>0</v>
      </c>
      <c r="F61" s="17">
        <f>SetEnemyNormal!L66</f>
        <v>2</v>
      </c>
      <c r="G61" s="17">
        <f>SetEnemyNormal!M66</f>
        <v>7</v>
      </c>
      <c r="H61" s="17">
        <f>SetEnemyNormal!N66</f>
        <v>20</v>
      </c>
      <c r="I61" s="17">
        <f>SetEnemyNormal!O66</f>
        <v>6</v>
      </c>
      <c r="J61" s="17">
        <f>SetEnemyNormal!P66</f>
        <v>1</v>
      </c>
      <c r="K61" s="17">
        <f>SetEnemyNormal!R66</f>
        <v>0</v>
      </c>
      <c r="L61" s="17">
        <f>SetEnemyNormal!S66</f>
        <v>0</v>
      </c>
    </row>
    <row r="62" spans="1:12" x14ac:dyDescent="0.15">
      <c r="A62" s="18">
        <f>SetEnemyNormal!B67</f>
        <v>4650</v>
      </c>
      <c r="B62" s="18">
        <f>SetEnemyNormal!D67</f>
        <v>2</v>
      </c>
      <c r="C62" s="18">
        <f>SetEnemyNormal!F67</f>
        <v>2</v>
      </c>
      <c r="D62" s="18">
        <f>SetEnemyNormal!H67</f>
        <v>2</v>
      </c>
      <c r="E62" s="18">
        <f>SetEnemyNormal!J67</f>
        <v>0</v>
      </c>
      <c r="F62" s="18">
        <f>SetEnemyNormal!L67</f>
        <v>2</v>
      </c>
      <c r="G62" s="18">
        <f>SetEnemyNormal!M67</f>
        <v>7</v>
      </c>
      <c r="H62" s="18">
        <f>SetEnemyNormal!N67</f>
        <v>20</v>
      </c>
      <c r="I62" s="18">
        <f>SetEnemyNormal!O67</f>
        <v>6</v>
      </c>
      <c r="J62" s="18">
        <f>SetEnemyNormal!P67</f>
        <v>1</v>
      </c>
      <c r="K62" s="18">
        <f>SetEnemyNormal!R67</f>
        <v>0</v>
      </c>
      <c r="L62" s="18">
        <f>SetEnemyNormal!S67</f>
        <v>0</v>
      </c>
    </row>
    <row r="63" spans="1:12" x14ac:dyDescent="0.15">
      <c r="A63" s="17">
        <f>SetEnemyNormal!B68</f>
        <v>0</v>
      </c>
      <c r="B63" s="17">
        <f>SetEnemyNormal!D68</f>
        <v>0</v>
      </c>
      <c r="C63" s="17">
        <f>SetEnemyNormal!F68</f>
        <v>0</v>
      </c>
      <c r="D63" s="17">
        <f>SetEnemyNormal!H68</f>
        <v>0</v>
      </c>
      <c r="E63" s="17">
        <f>SetEnemyNormal!J68</f>
        <v>0</v>
      </c>
      <c r="F63" s="17">
        <f>SetEnemyNormal!L68</f>
        <v>0</v>
      </c>
      <c r="G63" s="17">
        <f>SetEnemyNormal!M68</f>
        <v>0</v>
      </c>
      <c r="H63" s="17">
        <f>SetEnemyNormal!N68</f>
        <v>0</v>
      </c>
      <c r="I63" s="17">
        <f>SetEnemyNormal!O68</f>
        <v>0</v>
      </c>
      <c r="J63" s="17">
        <f>SetEnemyNormal!P68</f>
        <v>0</v>
      </c>
      <c r="K63" s="17">
        <f>SetEnemyNormal!R68</f>
        <v>0</v>
      </c>
      <c r="L63" s="17">
        <f>SetEnemyNormal!S68</f>
        <v>0</v>
      </c>
    </row>
    <row r="64" spans="1:12" x14ac:dyDescent="0.15">
      <c r="A64" s="18">
        <f>SetEnemyNormal!B69</f>
        <v>0</v>
      </c>
      <c r="B64" s="18">
        <f>SetEnemyNormal!D69</f>
        <v>0</v>
      </c>
      <c r="C64" s="18">
        <f>SetEnemyNormal!F69</f>
        <v>0</v>
      </c>
      <c r="D64" s="18">
        <f>SetEnemyNormal!H69</f>
        <v>0</v>
      </c>
      <c r="E64" s="18">
        <f>SetEnemyNormal!J69</f>
        <v>0</v>
      </c>
      <c r="F64" s="18">
        <f>SetEnemyNormal!L69</f>
        <v>0</v>
      </c>
      <c r="G64" s="18">
        <f>SetEnemyNormal!M69</f>
        <v>0</v>
      </c>
      <c r="H64" s="18">
        <f>SetEnemyNormal!N69</f>
        <v>0</v>
      </c>
      <c r="I64" s="18">
        <f>SetEnemyNormal!O69</f>
        <v>0</v>
      </c>
      <c r="J64" s="18">
        <f>SetEnemyNormal!P69</f>
        <v>0</v>
      </c>
      <c r="K64" s="18">
        <f>SetEnemyNormal!R69</f>
        <v>0</v>
      </c>
      <c r="L64" s="18">
        <f>SetEnemyNormal!S69</f>
        <v>0</v>
      </c>
    </row>
    <row r="65" spans="1:12" x14ac:dyDescent="0.15">
      <c r="A65" s="17">
        <f>SetEnemyNormal!B70</f>
        <v>0</v>
      </c>
      <c r="B65" s="17">
        <f>SetEnemyNormal!D70</f>
        <v>0</v>
      </c>
      <c r="C65" s="17">
        <f>SetEnemyNormal!F70</f>
        <v>0</v>
      </c>
      <c r="D65" s="17">
        <f>SetEnemyNormal!H70</f>
        <v>0</v>
      </c>
      <c r="E65" s="17">
        <f>SetEnemyNormal!J70</f>
        <v>0</v>
      </c>
      <c r="F65" s="17">
        <f>SetEnemyNormal!L70</f>
        <v>0</v>
      </c>
      <c r="G65" s="17">
        <f>SetEnemyNormal!M70</f>
        <v>0</v>
      </c>
      <c r="H65" s="17">
        <f>SetEnemyNormal!N70</f>
        <v>0</v>
      </c>
      <c r="I65" s="17">
        <f>SetEnemyNormal!O70</f>
        <v>0</v>
      </c>
      <c r="J65" s="17">
        <f>SetEnemyNormal!P70</f>
        <v>0</v>
      </c>
      <c r="K65" s="17">
        <f>SetEnemyNormal!R70</f>
        <v>0</v>
      </c>
      <c r="L65" s="17">
        <f>SetEnemyNormal!S70</f>
        <v>0</v>
      </c>
    </row>
    <row r="66" spans="1:12" x14ac:dyDescent="0.15">
      <c r="A66" s="18">
        <f>SetEnemyNormal!B71</f>
        <v>0</v>
      </c>
      <c r="B66" s="18">
        <f>SetEnemyNormal!D71</f>
        <v>0</v>
      </c>
      <c r="C66" s="18">
        <f>SetEnemyNormal!F71</f>
        <v>0</v>
      </c>
      <c r="D66" s="18">
        <f>SetEnemyNormal!H71</f>
        <v>0</v>
      </c>
      <c r="E66" s="18">
        <f>SetEnemyNormal!J71</f>
        <v>0</v>
      </c>
      <c r="F66" s="18">
        <f>SetEnemyNormal!L71</f>
        <v>0</v>
      </c>
      <c r="G66" s="18">
        <f>SetEnemyNormal!M71</f>
        <v>0</v>
      </c>
      <c r="H66" s="18">
        <f>SetEnemyNormal!N71</f>
        <v>0</v>
      </c>
      <c r="I66" s="18">
        <f>SetEnemyNormal!O71</f>
        <v>0</v>
      </c>
      <c r="J66" s="18">
        <f>SetEnemyNormal!P71</f>
        <v>0</v>
      </c>
      <c r="K66" s="18">
        <f>SetEnemyNormal!R71</f>
        <v>0</v>
      </c>
      <c r="L66" s="18">
        <f>SetEnemyNormal!S71</f>
        <v>0</v>
      </c>
    </row>
    <row r="67" spans="1:12" x14ac:dyDescent="0.15">
      <c r="A67" s="17">
        <f>SetEnemyNormal!B72</f>
        <v>0</v>
      </c>
      <c r="B67" s="17">
        <f>SetEnemyNormal!D72</f>
        <v>0</v>
      </c>
      <c r="C67" s="17">
        <f>SetEnemyNormal!F72</f>
        <v>0</v>
      </c>
      <c r="D67" s="17">
        <f>SetEnemyNormal!H72</f>
        <v>0</v>
      </c>
      <c r="E67" s="17">
        <f>SetEnemyNormal!J72</f>
        <v>0</v>
      </c>
      <c r="F67" s="17">
        <f>SetEnemyNormal!L72</f>
        <v>0</v>
      </c>
      <c r="G67" s="17">
        <f>SetEnemyNormal!M72</f>
        <v>0</v>
      </c>
      <c r="H67" s="17">
        <f>SetEnemyNormal!N72</f>
        <v>0</v>
      </c>
      <c r="I67" s="17">
        <f>SetEnemyNormal!O72</f>
        <v>0</v>
      </c>
      <c r="J67" s="17">
        <f>SetEnemyNormal!P72</f>
        <v>0</v>
      </c>
      <c r="K67" s="17">
        <f>SetEnemyNormal!R72</f>
        <v>0</v>
      </c>
      <c r="L67" s="17">
        <f>SetEnemyNormal!S72</f>
        <v>0</v>
      </c>
    </row>
    <row r="68" spans="1:12" x14ac:dyDescent="0.15">
      <c r="A68" s="18">
        <f>SetEnemyNormal!B73</f>
        <v>0</v>
      </c>
      <c r="B68" s="18">
        <f>SetEnemyNormal!D73</f>
        <v>0</v>
      </c>
      <c r="C68" s="18">
        <f>SetEnemyNormal!F73</f>
        <v>0</v>
      </c>
      <c r="D68" s="18">
        <f>SetEnemyNormal!H73</f>
        <v>0</v>
      </c>
      <c r="E68" s="18">
        <f>SetEnemyNormal!J73</f>
        <v>0</v>
      </c>
      <c r="F68" s="18">
        <f>SetEnemyNormal!L73</f>
        <v>0</v>
      </c>
      <c r="G68" s="18">
        <f>SetEnemyNormal!M73</f>
        <v>0</v>
      </c>
      <c r="H68" s="18">
        <f>SetEnemyNormal!N73</f>
        <v>0</v>
      </c>
      <c r="I68" s="18">
        <f>SetEnemyNormal!O73</f>
        <v>0</v>
      </c>
      <c r="J68" s="18">
        <f>SetEnemyNormal!P73</f>
        <v>0</v>
      </c>
      <c r="K68" s="18">
        <f>SetEnemyNormal!R73</f>
        <v>0</v>
      </c>
      <c r="L68" s="18">
        <f>SetEnemyNormal!S73</f>
        <v>0</v>
      </c>
    </row>
    <row r="69" spans="1:12" x14ac:dyDescent="0.15">
      <c r="A69" s="17">
        <f>SetEnemyNormal!B74</f>
        <v>0</v>
      </c>
      <c r="B69" s="17">
        <f>SetEnemyNormal!D74</f>
        <v>0</v>
      </c>
      <c r="C69" s="17">
        <f>SetEnemyNormal!F74</f>
        <v>0</v>
      </c>
      <c r="D69" s="17">
        <f>SetEnemyNormal!H74</f>
        <v>0</v>
      </c>
      <c r="E69" s="17">
        <f>SetEnemyNormal!J74</f>
        <v>0</v>
      </c>
      <c r="F69" s="17">
        <f>SetEnemyNormal!L74</f>
        <v>0</v>
      </c>
      <c r="G69" s="17">
        <f>SetEnemyNormal!M74</f>
        <v>0</v>
      </c>
      <c r="H69" s="17">
        <f>SetEnemyNormal!N74</f>
        <v>0</v>
      </c>
      <c r="I69" s="17">
        <f>SetEnemyNormal!O74</f>
        <v>0</v>
      </c>
      <c r="J69" s="17">
        <f>SetEnemyNormal!P74</f>
        <v>0</v>
      </c>
      <c r="K69" s="17">
        <f>SetEnemyNormal!R74</f>
        <v>0</v>
      </c>
      <c r="L69" s="17">
        <f>SetEnemyNormal!S74</f>
        <v>0</v>
      </c>
    </row>
    <row r="70" spans="1:12" x14ac:dyDescent="0.15">
      <c r="A70" s="18">
        <f>SetEnemyNormal!B75</f>
        <v>0</v>
      </c>
      <c r="B70" s="18">
        <f>SetEnemyNormal!D75</f>
        <v>0</v>
      </c>
      <c r="C70" s="18">
        <f>SetEnemyNormal!F75</f>
        <v>0</v>
      </c>
      <c r="D70" s="18">
        <f>SetEnemyNormal!H75</f>
        <v>0</v>
      </c>
      <c r="E70" s="18">
        <f>SetEnemyNormal!J75</f>
        <v>0</v>
      </c>
      <c r="F70" s="18">
        <f>SetEnemyNormal!L75</f>
        <v>0</v>
      </c>
      <c r="G70" s="18">
        <f>SetEnemyNormal!M75</f>
        <v>0</v>
      </c>
      <c r="H70" s="18">
        <f>SetEnemyNormal!N75</f>
        <v>0</v>
      </c>
      <c r="I70" s="18">
        <f>SetEnemyNormal!O75</f>
        <v>0</v>
      </c>
      <c r="J70" s="18">
        <f>SetEnemyNormal!P75</f>
        <v>0</v>
      </c>
      <c r="K70" s="18">
        <f>SetEnemyNormal!R75</f>
        <v>0</v>
      </c>
      <c r="L70" s="18">
        <f>SetEnemyNormal!S75</f>
        <v>0</v>
      </c>
    </row>
    <row r="71" spans="1:12" x14ac:dyDescent="0.15">
      <c r="A71" s="17">
        <f>SetEnemyNormal!B76</f>
        <v>0</v>
      </c>
      <c r="B71" s="17">
        <f>SetEnemyNormal!D76</f>
        <v>0</v>
      </c>
      <c r="C71" s="17">
        <f>SetEnemyNormal!F76</f>
        <v>0</v>
      </c>
      <c r="D71" s="17">
        <f>SetEnemyNormal!H76</f>
        <v>0</v>
      </c>
      <c r="E71" s="17">
        <f>SetEnemyNormal!J76</f>
        <v>0</v>
      </c>
      <c r="F71" s="17">
        <f>SetEnemyNormal!L76</f>
        <v>0</v>
      </c>
      <c r="G71" s="17">
        <f>SetEnemyNormal!M76</f>
        <v>0</v>
      </c>
      <c r="H71" s="17">
        <f>SetEnemyNormal!N76</f>
        <v>0</v>
      </c>
      <c r="I71" s="17">
        <f>SetEnemyNormal!O76</f>
        <v>0</v>
      </c>
      <c r="J71" s="17">
        <f>SetEnemyNormal!P76</f>
        <v>0</v>
      </c>
      <c r="K71" s="17">
        <f>SetEnemyNormal!R76</f>
        <v>0</v>
      </c>
      <c r="L71" s="17">
        <f>SetEnemyNormal!S76</f>
        <v>0</v>
      </c>
    </row>
    <row r="72" spans="1:12" x14ac:dyDescent="0.15">
      <c r="A72" s="18">
        <f>SetEnemyNormal!B77</f>
        <v>0</v>
      </c>
      <c r="B72" s="18">
        <f>SetEnemyNormal!D77</f>
        <v>0</v>
      </c>
      <c r="C72" s="18">
        <f>SetEnemyNormal!F77</f>
        <v>0</v>
      </c>
      <c r="D72" s="18">
        <f>SetEnemyNormal!H77</f>
        <v>0</v>
      </c>
      <c r="E72" s="18">
        <f>SetEnemyNormal!J77</f>
        <v>0</v>
      </c>
      <c r="F72" s="18">
        <f>SetEnemyNormal!L77</f>
        <v>0</v>
      </c>
      <c r="G72" s="18">
        <f>SetEnemyNormal!M77</f>
        <v>0</v>
      </c>
      <c r="H72" s="18">
        <f>SetEnemyNormal!N77</f>
        <v>0</v>
      </c>
      <c r="I72" s="18">
        <f>SetEnemyNormal!O77</f>
        <v>0</v>
      </c>
      <c r="J72" s="18">
        <f>SetEnemyNormal!P77</f>
        <v>0</v>
      </c>
      <c r="K72" s="18">
        <f>SetEnemyNormal!R77</f>
        <v>0</v>
      </c>
      <c r="L72" s="18">
        <f>SetEnemyNormal!S77</f>
        <v>0</v>
      </c>
    </row>
    <row r="73" spans="1:12" x14ac:dyDescent="0.15">
      <c r="A73" s="17">
        <f>SetEnemyNormal!B78</f>
        <v>0</v>
      </c>
      <c r="B73" s="17">
        <f>SetEnemyNormal!D78</f>
        <v>0</v>
      </c>
      <c r="C73" s="17">
        <f>SetEnemyNormal!F78</f>
        <v>0</v>
      </c>
      <c r="D73" s="17">
        <f>SetEnemyNormal!H78</f>
        <v>0</v>
      </c>
      <c r="E73" s="17">
        <f>SetEnemyNormal!J78</f>
        <v>0</v>
      </c>
      <c r="F73" s="17">
        <f>SetEnemyNormal!L78</f>
        <v>0</v>
      </c>
      <c r="G73" s="17">
        <f>SetEnemyNormal!M78</f>
        <v>0</v>
      </c>
      <c r="H73" s="17">
        <f>SetEnemyNormal!N78</f>
        <v>0</v>
      </c>
      <c r="I73" s="17">
        <f>SetEnemyNormal!O78</f>
        <v>0</v>
      </c>
      <c r="J73" s="17">
        <f>SetEnemyNormal!P78</f>
        <v>0</v>
      </c>
      <c r="K73" s="17">
        <f>SetEnemyNormal!R78</f>
        <v>0</v>
      </c>
      <c r="L73" s="17">
        <f>SetEnemyNormal!S78</f>
        <v>0</v>
      </c>
    </row>
    <row r="74" spans="1:12" x14ac:dyDescent="0.15">
      <c r="A74" s="18">
        <f>SetEnemyNormal!B79</f>
        <v>0</v>
      </c>
      <c r="B74" s="18">
        <f>SetEnemyNormal!D79</f>
        <v>0</v>
      </c>
      <c r="C74" s="18">
        <f>SetEnemyNormal!F79</f>
        <v>0</v>
      </c>
      <c r="D74" s="18">
        <f>SetEnemyNormal!H79</f>
        <v>0</v>
      </c>
      <c r="E74" s="18">
        <f>SetEnemyNormal!J79</f>
        <v>0</v>
      </c>
      <c r="F74" s="18">
        <f>SetEnemyNormal!L79</f>
        <v>0</v>
      </c>
      <c r="G74" s="18">
        <f>SetEnemyNormal!M79</f>
        <v>0</v>
      </c>
      <c r="H74" s="18">
        <f>SetEnemyNormal!N79</f>
        <v>0</v>
      </c>
      <c r="I74" s="18">
        <f>SetEnemyNormal!O79</f>
        <v>0</v>
      </c>
      <c r="J74" s="18">
        <f>SetEnemyNormal!P79</f>
        <v>0</v>
      </c>
      <c r="K74" s="18">
        <f>SetEnemyNormal!R79</f>
        <v>0</v>
      </c>
      <c r="L74" s="18">
        <f>SetEnemyNormal!S79</f>
        <v>0</v>
      </c>
    </row>
    <row r="75" spans="1:12" x14ac:dyDescent="0.15">
      <c r="A75" s="17">
        <f>SetEnemyNormal!B80</f>
        <v>0</v>
      </c>
      <c r="B75" s="17">
        <f>SetEnemyNormal!D80</f>
        <v>0</v>
      </c>
      <c r="C75" s="17">
        <f>SetEnemyNormal!F80</f>
        <v>0</v>
      </c>
      <c r="D75" s="17">
        <f>SetEnemyNormal!H80</f>
        <v>0</v>
      </c>
      <c r="E75" s="17">
        <f>SetEnemyNormal!J80</f>
        <v>0</v>
      </c>
      <c r="F75" s="17">
        <f>SetEnemyNormal!L80</f>
        <v>0</v>
      </c>
      <c r="G75" s="17">
        <f>SetEnemyNormal!M80</f>
        <v>0</v>
      </c>
      <c r="H75" s="17">
        <f>SetEnemyNormal!N80</f>
        <v>0</v>
      </c>
      <c r="I75" s="17">
        <f>SetEnemyNormal!O80</f>
        <v>0</v>
      </c>
      <c r="J75" s="17">
        <f>SetEnemyNormal!P80</f>
        <v>0</v>
      </c>
      <c r="K75" s="17">
        <f>SetEnemyNormal!R80</f>
        <v>0</v>
      </c>
      <c r="L75" s="17">
        <f>SetEnemyNormal!S80</f>
        <v>0</v>
      </c>
    </row>
    <row r="76" spans="1:12" x14ac:dyDescent="0.15">
      <c r="A76" s="18">
        <f>SetEnemyNormal!B81</f>
        <v>0</v>
      </c>
      <c r="B76" s="18">
        <f>SetEnemyNormal!D81</f>
        <v>0</v>
      </c>
      <c r="C76" s="18">
        <f>SetEnemyNormal!F81</f>
        <v>0</v>
      </c>
      <c r="D76" s="18">
        <f>SetEnemyNormal!H81</f>
        <v>0</v>
      </c>
      <c r="E76" s="18">
        <f>SetEnemyNormal!J81</f>
        <v>0</v>
      </c>
      <c r="F76" s="18">
        <f>SetEnemyNormal!L81</f>
        <v>0</v>
      </c>
      <c r="G76" s="18">
        <f>SetEnemyNormal!M81</f>
        <v>0</v>
      </c>
      <c r="H76" s="18">
        <f>SetEnemyNormal!N81</f>
        <v>0</v>
      </c>
      <c r="I76" s="18">
        <f>SetEnemyNormal!O81</f>
        <v>0</v>
      </c>
      <c r="J76" s="18">
        <f>SetEnemyNormal!P81</f>
        <v>0</v>
      </c>
      <c r="K76" s="18">
        <f>SetEnemyNormal!R81</f>
        <v>0</v>
      </c>
      <c r="L76" s="18">
        <f>SetEnemyNormal!S81</f>
        <v>0</v>
      </c>
    </row>
    <row r="77" spans="1:12" x14ac:dyDescent="0.15">
      <c r="A77" s="17">
        <f>SetEnemyNormal!B82</f>
        <v>0</v>
      </c>
      <c r="B77" s="17">
        <f>SetEnemyNormal!D82</f>
        <v>0</v>
      </c>
      <c r="C77" s="17">
        <f>SetEnemyNormal!F82</f>
        <v>0</v>
      </c>
      <c r="D77" s="17">
        <f>SetEnemyNormal!H82</f>
        <v>0</v>
      </c>
      <c r="E77" s="17">
        <f>SetEnemyNormal!J82</f>
        <v>0</v>
      </c>
      <c r="F77" s="17">
        <f>SetEnemyNormal!L82</f>
        <v>0</v>
      </c>
      <c r="G77" s="17">
        <f>SetEnemyNormal!M82</f>
        <v>0</v>
      </c>
      <c r="H77" s="17">
        <f>SetEnemyNormal!N82</f>
        <v>0</v>
      </c>
      <c r="I77" s="17">
        <f>SetEnemyNormal!O82</f>
        <v>0</v>
      </c>
      <c r="J77" s="17">
        <f>SetEnemyNormal!P82</f>
        <v>0</v>
      </c>
      <c r="K77" s="17">
        <f>SetEnemyNormal!R82</f>
        <v>0</v>
      </c>
      <c r="L77" s="17">
        <f>SetEnemyNormal!S82</f>
        <v>0</v>
      </c>
    </row>
    <row r="78" spans="1:12" x14ac:dyDescent="0.15">
      <c r="A78" s="18">
        <f>SetEnemyNormal!B83</f>
        <v>0</v>
      </c>
      <c r="B78" s="18">
        <f>SetEnemyNormal!D83</f>
        <v>0</v>
      </c>
      <c r="C78" s="18">
        <f>SetEnemyNormal!F83</f>
        <v>0</v>
      </c>
      <c r="D78" s="18">
        <f>SetEnemyNormal!H83</f>
        <v>0</v>
      </c>
      <c r="E78" s="18">
        <f>SetEnemyNormal!J83</f>
        <v>0</v>
      </c>
      <c r="F78" s="18">
        <f>SetEnemyNormal!L83</f>
        <v>0</v>
      </c>
      <c r="G78" s="18">
        <f>SetEnemyNormal!M83</f>
        <v>0</v>
      </c>
      <c r="H78" s="18">
        <f>SetEnemyNormal!N83</f>
        <v>0</v>
      </c>
      <c r="I78" s="18">
        <f>SetEnemyNormal!O83</f>
        <v>0</v>
      </c>
      <c r="J78" s="18">
        <f>SetEnemyNormal!P83</f>
        <v>0</v>
      </c>
      <c r="K78" s="18">
        <f>SetEnemyNormal!R83</f>
        <v>0</v>
      </c>
      <c r="L78" s="18">
        <f>SetEnemyNormal!S83</f>
        <v>0</v>
      </c>
    </row>
    <row r="79" spans="1:12" x14ac:dyDescent="0.15">
      <c r="A79" s="17">
        <f>SetEnemyNormal!B84</f>
        <v>0</v>
      </c>
      <c r="B79" s="17">
        <f>SetEnemyNormal!D84</f>
        <v>0</v>
      </c>
      <c r="C79" s="17">
        <f>SetEnemyNormal!F84</f>
        <v>0</v>
      </c>
      <c r="D79" s="17">
        <f>SetEnemyNormal!H84</f>
        <v>0</v>
      </c>
      <c r="E79" s="17">
        <f>SetEnemyNormal!J84</f>
        <v>0</v>
      </c>
      <c r="F79" s="17">
        <f>SetEnemyNormal!L84</f>
        <v>0</v>
      </c>
      <c r="G79" s="17">
        <f>SetEnemyNormal!M84</f>
        <v>0</v>
      </c>
      <c r="H79" s="17">
        <f>SetEnemyNormal!N84</f>
        <v>0</v>
      </c>
      <c r="I79" s="17">
        <f>SetEnemyNormal!O84</f>
        <v>0</v>
      </c>
      <c r="J79" s="17">
        <f>SetEnemyNormal!P84</f>
        <v>0</v>
      </c>
      <c r="K79" s="17">
        <f>SetEnemyNormal!R84</f>
        <v>0</v>
      </c>
      <c r="L79" s="17">
        <f>SetEnemyNormal!S84</f>
        <v>0</v>
      </c>
    </row>
    <row r="80" spans="1:12" x14ac:dyDescent="0.15">
      <c r="A80" s="18">
        <f>SetEnemyNormal!B85</f>
        <v>0</v>
      </c>
      <c r="B80" s="18">
        <f>SetEnemyNormal!D85</f>
        <v>0</v>
      </c>
      <c r="C80" s="18">
        <f>SetEnemyNormal!F85</f>
        <v>0</v>
      </c>
      <c r="D80" s="18">
        <f>SetEnemyNormal!H85</f>
        <v>0</v>
      </c>
      <c r="E80" s="18">
        <f>SetEnemyNormal!J85</f>
        <v>0</v>
      </c>
      <c r="F80" s="18">
        <f>SetEnemyNormal!L85</f>
        <v>0</v>
      </c>
      <c r="G80" s="18">
        <f>SetEnemyNormal!M85</f>
        <v>0</v>
      </c>
      <c r="H80" s="18">
        <f>SetEnemyNormal!N85</f>
        <v>0</v>
      </c>
      <c r="I80" s="18">
        <f>SetEnemyNormal!O85</f>
        <v>0</v>
      </c>
      <c r="J80" s="18">
        <f>SetEnemyNormal!P85</f>
        <v>0</v>
      </c>
      <c r="K80" s="18">
        <f>SetEnemyNormal!R85</f>
        <v>0</v>
      </c>
      <c r="L80" s="18">
        <f>SetEnemyNormal!S85</f>
        <v>0</v>
      </c>
    </row>
    <row r="81" spans="1:12" x14ac:dyDescent="0.15">
      <c r="A81" s="17">
        <f>SetEnemyNormal!B86</f>
        <v>0</v>
      </c>
      <c r="B81" s="17">
        <f>SetEnemyNormal!D86</f>
        <v>0</v>
      </c>
      <c r="C81" s="17">
        <f>SetEnemyNormal!F86</f>
        <v>0</v>
      </c>
      <c r="D81" s="17">
        <f>SetEnemyNormal!H86</f>
        <v>0</v>
      </c>
      <c r="E81" s="17">
        <f>SetEnemyNormal!J86</f>
        <v>0</v>
      </c>
      <c r="F81" s="17">
        <f>SetEnemyNormal!L86</f>
        <v>0</v>
      </c>
      <c r="G81" s="17">
        <f>SetEnemyNormal!M86</f>
        <v>0</v>
      </c>
      <c r="H81" s="17">
        <f>SetEnemyNormal!N86</f>
        <v>0</v>
      </c>
      <c r="I81" s="17">
        <f>SetEnemyNormal!O86</f>
        <v>0</v>
      </c>
      <c r="J81" s="17">
        <f>SetEnemyNormal!P86</f>
        <v>0</v>
      </c>
      <c r="K81" s="17">
        <f>SetEnemyNormal!R86</f>
        <v>0</v>
      </c>
      <c r="L81" s="17">
        <f>SetEnemyNormal!S86</f>
        <v>0</v>
      </c>
    </row>
    <row r="82" spans="1:12" x14ac:dyDescent="0.15">
      <c r="A82" s="18">
        <f>SetEnemyNormal!B87</f>
        <v>0</v>
      </c>
      <c r="B82" s="18">
        <f>SetEnemyNormal!D87</f>
        <v>0</v>
      </c>
      <c r="C82" s="18">
        <f>SetEnemyNormal!F87</f>
        <v>0</v>
      </c>
      <c r="D82" s="18">
        <f>SetEnemyNormal!H87</f>
        <v>0</v>
      </c>
      <c r="E82" s="18">
        <f>SetEnemyNormal!J87</f>
        <v>0</v>
      </c>
      <c r="F82" s="18">
        <f>SetEnemyNormal!L87</f>
        <v>0</v>
      </c>
      <c r="G82" s="18">
        <f>SetEnemyNormal!M87</f>
        <v>0</v>
      </c>
      <c r="H82" s="18">
        <f>SetEnemyNormal!N87</f>
        <v>0</v>
      </c>
      <c r="I82" s="18">
        <f>SetEnemyNormal!O87</f>
        <v>0</v>
      </c>
      <c r="J82" s="18">
        <f>SetEnemyNormal!P87</f>
        <v>0</v>
      </c>
      <c r="K82" s="18">
        <f>SetEnemyNormal!R87</f>
        <v>0</v>
      </c>
      <c r="L82" s="18">
        <f>SetEnemyNormal!S87</f>
        <v>0</v>
      </c>
    </row>
    <row r="83" spans="1:12" x14ac:dyDescent="0.15">
      <c r="A83" s="17">
        <f>SetEnemyNormal!B88</f>
        <v>0</v>
      </c>
      <c r="B83" s="17">
        <f>SetEnemyNormal!D88</f>
        <v>0</v>
      </c>
      <c r="C83" s="17">
        <f>SetEnemyNormal!F88</f>
        <v>0</v>
      </c>
      <c r="D83" s="17">
        <f>SetEnemyNormal!H88</f>
        <v>0</v>
      </c>
      <c r="E83" s="17">
        <f>SetEnemyNormal!J88</f>
        <v>0</v>
      </c>
      <c r="F83" s="17">
        <f>SetEnemyNormal!L88</f>
        <v>0</v>
      </c>
      <c r="G83" s="17">
        <f>SetEnemyNormal!M88</f>
        <v>0</v>
      </c>
      <c r="H83" s="17">
        <f>SetEnemyNormal!N88</f>
        <v>0</v>
      </c>
      <c r="I83" s="17">
        <f>SetEnemyNormal!O88</f>
        <v>0</v>
      </c>
      <c r="J83" s="17">
        <f>SetEnemyNormal!P88</f>
        <v>0</v>
      </c>
      <c r="K83" s="17">
        <f>SetEnemyNormal!R88</f>
        <v>0</v>
      </c>
      <c r="L83" s="17">
        <f>SetEnemyNormal!S88</f>
        <v>0</v>
      </c>
    </row>
    <row r="84" spans="1:12" x14ac:dyDescent="0.15">
      <c r="A84" s="18">
        <f>SetEnemyNormal!B89</f>
        <v>0</v>
      </c>
      <c r="B84" s="18">
        <f>SetEnemyNormal!D89</f>
        <v>0</v>
      </c>
      <c r="C84" s="18">
        <f>SetEnemyNormal!F89</f>
        <v>0</v>
      </c>
      <c r="D84" s="18">
        <f>SetEnemyNormal!H89</f>
        <v>0</v>
      </c>
      <c r="E84" s="18">
        <f>SetEnemyNormal!J89</f>
        <v>0</v>
      </c>
      <c r="F84" s="18">
        <f>SetEnemyNormal!L89</f>
        <v>0</v>
      </c>
      <c r="G84" s="18">
        <f>SetEnemyNormal!M89</f>
        <v>0</v>
      </c>
      <c r="H84" s="18">
        <f>SetEnemyNormal!N89</f>
        <v>0</v>
      </c>
      <c r="I84" s="18">
        <f>SetEnemyNormal!O89</f>
        <v>0</v>
      </c>
      <c r="J84" s="18">
        <f>SetEnemyNormal!P89</f>
        <v>0</v>
      </c>
      <c r="K84" s="18">
        <f>SetEnemyNormal!R89</f>
        <v>0</v>
      </c>
      <c r="L84" s="18">
        <f>SetEnemyNormal!S89</f>
        <v>0</v>
      </c>
    </row>
    <row r="85" spans="1:12" x14ac:dyDescent="0.15">
      <c r="A85" s="17">
        <f>SetEnemyNormal!B90</f>
        <v>0</v>
      </c>
      <c r="B85" s="17">
        <f>SetEnemyNormal!D90</f>
        <v>0</v>
      </c>
      <c r="C85" s="17">
        <f>SetEnemyNormal!F90</f>
        <v>0</v>
      </c>
      <c r="D85" s="17">
        <f>SetEnemyNormal!H90</f>
        <v>0</v>
      </c>
      <c r="E85" s="17">
        <f>SetEnemyNormal!J90</f>
        <v>0</v>
      </c>
      <c r="F85" s="17">
        <f>SetEnemyNormal!L90</f>
        <v>0</v>
      </c>
      <c r="G85" s="17">
        <f>SetEnemyNormal!M90</f>
        <v>0</v>
      </c>
      <c r="H85" s="17">
        <f>SetEnemyNormal!N90</f>
        <v>0</v>
      </c>
      <c r="I85" s="17">
        <f>SetEnemyNormal!O90</f>
        <v>0</v>
      </c>
      <c r="J85" s="17">
        <f>SetEnemyNormal!P90</f>
        <v>0</v>
      </c>
      <c r="K85" s="17">
        <f>SetEnemyNormal!R90</f>
        <v>0</v>
      </c>
      <c r="L85" s="17">
        <f>SetEnemyNormal!S90</f>
        <v>0</v>
      </c>
    </row>
    <row r="86" spans="1:12" x14ac:dyDescent="0.15">
      <c r="A86" s="18">
        <f>SetEnemyNormal!B91</f>
        <v>0</v>
      </c>
      <c r="B86" s="18">
        <f>SetEnemyNormal!D91</f>
        <v>0</v>
      </c>
      <c r="C86" s="18">
        <f>SetEnemyNormal!F91</f>
        <v>0</v>
      </c>
      <c r="D86" s="18">
        <f>SetEnemyNormal!H91</f>
        <v>0</v>
      </c>
      <c r="E86" s="18">
        <f>SetEnemyNormal!J91</f>
        <v>0</v>
      </c>
      <c r="F86" s="18">
        <f>SetEnemyNormal!L91</f>
        <v>0</v>
      </c>
      <c r="G86" s="18">
        <f>SetEnemyNormal!M91</f>
        <v>0</v>
      </c>
      <c r="H86" s="18">
        <f>SetEnemyNormal!N91</f>
        <v>0</v>
      </c>
      <c r="I86" s="18">
        <f>SetEnemyNormal!O91</f>
        <v>0</v>
      </c>
      <c r="J86" s="18">
        <f>SetEnemyNormal!P91</f>
        <v>0</v>
      </c>
      <c r="K86" s="18">
        <f>SetEnemyNormal!R91</f>
        <v>0</v>
      </c>
      <c r="L86" s="18">
        <f>SetEnemyNormal!S91</f>
        <v>0</v>
      </c>
    </row>
    <row r="87" spans="1:12" x14ac:dyDescent="0.15">
      <c r="A87" s="17">
        <f>SetEnemyNormal!B92</f>
        <v>0</v>
      </c>
      <c r="B87" s="17">
        <f>SetEnemyNormal!D92</f>
        <v>0</v>
      </c>
      <c r="C87" s="17">
        <f>SetEnemyNormal!F92</f>
        <v>0</v>
      </c>
      <c r="D87" s="17">
        <f>SetEnemyNormal!H92</f>
        <v>0</v>
      </c>
      <c r="E87" s="17">
        <f>SetEnemyNormal!J92</f>
        <v>0</v>
      </c>
      <c r="F87" s="17">
        <f>SetEnemyNormal!L92</f>
        <v>0</v>
      </c>
      <c r="G87" s="17">
        <f>SetEnemyNormal!M92</f>
        <v>0</v>
      </c>
      <c r="H87" s="17">
        <f>SetEnemyNormal!N92</f>
        <v>0</v>
      </c>
      <c r="I87" s="17">
        <f>SetEnemyNormal!O92</f>
        <v>0</v>
      </c>
      <c r="J87" s="17">
        <f>SetEnemyNormal!P92</f>
        <v>0</v>
      </c>
      <c r="K87" s="17">
        <f>SetEnemyNormal!R92</f>
        <v>0</v>
      </c>
      <c r="L87" s="17">
        <f>SetEnemyNormal!S92</f>
        <v>0</v>
      </c>
    </row>
    <row r="88" spans="1:12" x14ac:dyDescent="0.15">
      <c r="A88" s="18">
        <f>SetEnemyNormal!B93</f>
        <v>0</v>
      </c>
      <c r="B88" s="18">
        <f>SetEnemyNormal!D93</f>
        <v>0</v>
      </c>
      <c r="C88" s="18">
        <f>SetEnemyNormal!F93</f>
        <v>0</v>
      </c>
      <c r="D88" s="18">
        <f>SetEnemyNormal!H93</f>
        <v>0</v>
      </c>
      <c r="E88" s="18">
        <f>SetEnemyNormal!J93</f>
        <v>0</v>
      </c>
      <c r="F88" s="18">
        <f>SetEnemyNormal!L93</f>
        <v>0</v>
      </c>
      <c r="G88" s="18">
        <f>SetEnemyNormal!M93</f>
        <v>0</v>
      </c>
      <c r="H88" s="18">
        <f>SetEnemyNormal!N93</f>
        <v>0</v>
      </c>
      <c r="I88" s="18">
        <f>SetEnemyNormal!O93</f>
        <v>0</v>
      </c>
      <c r="J88" s="18">
        <f>SetEnemyNormal!P93</f>
        <v>0</v>
      </c>
      <c r="K88" s="18">
        <f>SetEnemyNormal!R93</f>
        <v>0</v>
      </c>
      <c r="L88" s="18">
        <f>SetEnemyNormal!S93</f>
        <v>0</v>
      </c>
    </row>
    <row r="89" spans="1:12" x14ac:dyDescent="0.15">
      <c r="A89" s="17">
        <f>SetEnemyNormal!B94</f>
        <v>0</v>
      </c>
      <c r="B89" s="17">
        <f>SetEnemyNormal!D94</f>
        <v>0</v>
      </c>
      <c r="C89" s="17">
        <f>SetEnemyNormal!F94</f>
        <v>0</v>
      </c>
      <c r="D89" s="17">
        <f>SetEnemyNormal!H94</f>
        <v>0</v>
      </c>
      <c r="E89" s="17">
        <f>SetEnemyNormal!J94</f>
        <v>0</v>
      </c>
      <c r="F89" s="17">
        <f>SetEnemyNormal!L94</f>
        <v>0</v>
      </c>
      <c r="G89" s="17">
        <f>SetEnemyNormal!M94</f>
        <v>0</v>
      </c>
      <c r="H89" s="17">
        <f>SetEnemyNormal!N94</f>
        <v>0</v>
      </c>
      <c r="I89" s="17">
        <f>SetEnemyNormal!O94</f>
        <v>0</v>
      </c>
      <c r="J89" s="17">
        <f>SetEnemyNormal!P94</f>
        <v>0</v>
      </c>
      <c r="K89" s="17">
        <f>SetEnemyNormal!R94</f>
        <v>0</v>
      </c>
      <c r="L89" s="17">
        <f>SetEnemyNormal!S94</f>
        <v>0</v>
      </c>
    </row>
    <row r="90" spans="1:12" x14ac:dyDescent="0.15">
      <c r="A90" s="18">
        <f>SetEnemyNormal!B95</f>
        <v>0</v>
      </c>
      <c r="B90" s="18">
        <f>SetEnemyNormal!D95</f>
        <v>0</v>
      </c>
      <c r="C90" s="18">
        <f>SetEnemyNormal!F95</f>
        <v>0</v>
      </c>
      <c r="D90" s="18">
        <f>SetEnemyNormal!H95</f>
        <v>0</v>
      </c>
      <c r="E90" s="18">
        <f>SetEnemyNormal!J95</f>
        <v>0</v>
      </c>
      <c r="F90" s="18">
        <f>SetEnemyNormal!L95</f>
        <v>0</v>
      </c>
      <c r="G90" s="18">
        <f>SetEnemyNormal!M95</f>
        <v>0</v>
      </c>
      <c r="H90" s="18">
        <f>SetEnemyNormal!N95</f>
        <v>0</v>
      </c>
      <c r="I90" s="18">
        <f>SetEnemyNormal!O95</f>
        <v>0</v>
      </c>
      <c r="J90" s="18">
        <f>SetEnemyNormal!P95</f>
        <v>0</v>
      </c>
      <c r="K90" s="18">
        <f>SetEnemyNormal!R95</f>
        <v>0</v>
      </c>
      <c r="L90" s="18">
        <f>SetEnemyNormal!S95</f>
        <v>0</v>
      </c>
    </row>
    <row r="91" spans="1:12" x14ac:dyDescent="0.15">
      <c r="A91" s="17">
        <f>SetEnemyNormal!B96</f>
        <v>0</v>
      </c>
      <c r="B91" s="17">
        <f>SetEnemyNormal!D96</f>
        <v>0</v>
      </c>
      <c r="C91" s="17">
        <f>SetEnemyNormal!F96</f>
        <v>0</v>
      </c>
      <c r="D91" s="17">
        <f>SetEnemyNormal!H96</f>
        <v>0</v>
      </c>
      <c r="E91" s="17">
        <f>SetEnemyNormal!J96</f>
        <v>0</v>
      </c>
      <c r="F91" s="17">
        <f>SetEnemyNormal!L96</f>
        <v>0</v>
      </c>
      <c r="G91" s="17">
        <f>SetEnemyNormal!M96</f>
        <v>0</v>
      </c>
      <c r="H91" s="17">
        <f>SetEnemyNormal!N96</f>
        <v>0</v>
      </c>
      <c r="I91" s="17">
        <f>SetEnemyNormal!O96</f>
        <v>0</v>
      </c>
      <c r="J91" s="17">
        <f>SetEnemyNormal!P96</f>
        <v>0</v>
      </c>
      <c r="K91" s="17">
        <f>SetEnemyNormal!R96</f>
        <v>0</v>
      </c>
      <c r="L91" s="17">
        <f>SetEnemyNormal!S96</f>
        <v>0</v>
      </c>
    </row>
    <row r="92" spans="1:12" x14ac:dyDescent="0.15">
      <c r="A92" s="18">
        <f>SetEnemyNormal!B97</f>
        <v>0</v>
      </c>
      <c r="B92" s="18">
        <f>SetEnemyNormal!D97</f>
        <v>0</v>
      </c>
      <c r="C92" s="18">
        <f>SetEnemyNormal!F97</f>
        <v>0</v>
      </c>
      <c r="D92" s="18">
        <f>SetEnemyNormal!H97</f>
        <v>0</v>
      </c>
      <c r="E92" s="18">
        <f>SetEnemyNormal!J97</f>
        <v>0</v>
      </c>
      <c r="F92" s="18">
        <f>SetEnemyNormal!L97</f>
        <v>0</v>
      </c>
      <c r="G92" s="18">
        <f>SetEnemyNormal!M97</f>
        <v>0</v>
      </c>
      <c r="H92" s="18">
        <f>SetEnemyNormal!N97</f>
        <v>0</v>
      </c>
      <c r="I92" s="18">
        <f>SetEnemyNormal!O97</f>
        <v>0</v>
      </c>
      <c r="J92" s="18">
        <f>SetEnemyNormal!P97</f>
        <v>0</v>
      </c>
      <c r="K92" s="18">
        <f>SetEnemyNormal!R97</f>
        <v>0</v>
      </c>
      <c r="L92" s="18">
        <f>SetEnemyNormal!S97</f>
        <v>0</v>
      </c>
    </row>
    <row r="93" spans="1:12" x14ac:dyDescent="0.15">
      <c r="A93" s="17">
        <f>SetEnemyNormal!B98</f>
        <v>0</v>
      </c>
      <c r="B93" s="17">
        <f>SetEnemyNormal!D98</f>
        <v>0</v>
      </c>
      <c r="C93" s="17">
        <f>SetEnemyNormal!F98</f>
        <v>0</v>
      </c>
      <c r="D93" s="17">
        <f>SetEnemyNormal!H98</f>
        <v>0</v>
      </c>
      <c r="E93" s="17">
        <f>SetEnemyNormal!J98</f>
        <v>0</v>
      </c>
      <c r="F93" s="17">
        <f>SetEnemyNormal!L98</f>
        <v>0</v>
      </c>
      <c r="G93" s="17">
        <f>SetEnemyNormal!M98</f>
        <v>0</v>
      </c>
      <c r="H93" s="17">
        <f>SetEnemyNormal!N98</f>
        <v>0</v>
      </c>
      <c r="I93" s="17">
        <f>SetEnemyNormal!O98</f>
        <v>0</v>
      </c>
      <c r="J93" s="17">
        <f>SetEnemyNormal!P98</f>
        <v>0</v>
      </c>
      <c r="K93" s="17">
        <f>SetEnemyNormal!R98</f>
        <v>0</v>
      </c>
      <c r="L93" s="17">
        <f>SetEnemyNormal!S98</f>
        <v>0</v>
      </c>
    </row>
    <row r="94" spans="1:12" x14ac:dyDescent="0.15">
      <c r="A94" s="18">
        <f>SetEnemyNormal!B99</f>
        <v>0</v>
      </c>
      <c r="B94" s="18">
        <f>SetEnemyNormal!D99</f>
        <v>0</v>
      </c>
      <c r="C94" s="18">
        <f>SetEnemyNormal!F99</f>
        <v>0</v>
      </c>
      <c r="D94" s="18">
        <f>SetEnemyNormal!H99</f>
        <v>0</v>
      </c>
      <c r="E94" s="18">
        <f>SetEnemyNormal!J99</f>
        <v>0</v>
      </c>
      <c r="F94" s="18">
        <f>SetEnemyNormal!L99</f>
        <v>0</v>
      </c>
      <c r="G94" s="18">
        <f>SetEnemyNormal!M99</f>
        <v>0</v>
      </c>
      <c r="H94" s="18">
        <f>SetEnemyNormal!N99</f>
        <v>0</v>
      </c>
      <c r="I94" s="18">
        <f>SetEnemyNormal!O99</f>
        <v>0</v>
      </c>
      <c r="J94" s="18">
        <f>SetEnemyNormal!P99</f>
        <v>0</v>
      </c>
      <c r="K94" s="18">
        <f>SetEnemyNormal!R99</f>
        <v>0</v>
      </c>
      <c r="L94" s="18">
        <f>SetEnemyNormal!S99</f>
        <v>0</v>
      </c>
    </row>
    <row r="95" spans="1:12" x14ac:dyDescent="0.15">
      <c r="A95" s="17">
        <f>SetEnemyNormal!B100</f>
        <v>0</v>
      </c>
      <c r="B95" s="17">
        <f>SetEnemyNormal!D100</f>
        <v>0</v>
      </c>
      <c r="C95" s="17">
        <f>SetEnemyNormal!F100</f>
        <v>0</v>
      </c>
      <c r="D95" s="17">
        <f>SetEnemyNormal!H100</f>
        <v>0</v>
      </c>
      <c r="E95" s="17">
        <f>SetEnemyNormal!J100</f>
        <v>0</v>
      </c>
      <c r="F95" s="17">
        <f>SetEnemyNormal!L100</f>
        <v>0</v>
      </c>
      <c r="G95" s="17">
        <f>SetEnemyNormal!M100</f>
        <v>0</v>
      </c>
      <c r="H95" s="17">
        <f>SetEnemyNormal!N100</f>
        <v>0</v>
      </c>
      <c r="I95" s="17">
        <f>SetEnemyNormal!O100</f>
        <v>0</v>
      </c>
      <c r="J95" s="17">
        <f>SetEnemyNormal!P100</f>
        <v>0</v>
      </c>
      <c r="K95" s="17">
        <f>SetEnemyNormal!R100</f>
        <v>0</v>
      </c>
      <c r="L95" s="17">
        <f>SetEnemyNormal!S100</f>
        <v>0</v>
      </c>
    </row>
    <row r="96" spans="1:12" x14ac:dyDescent="0.15">
      <c r="A96" s="18">
        <f>SetEnemyNormal!B101</f>
        <v>0</v>
      </c>
      <c r="B96" s="18">
        <f>SetEnemyNormal!D101</f>
        <v>0</v>
      </c>
      <c r="C96" s="18">
        <f>SetEnemyNormal!F101</f>
        <v>0</v>
      </c>
      <c r="D96" s="18">
        <f>SetEnemyNormal!H101</f>
        <v>0</v>
      </c>
      <c r="E96" s="18">
        <f>SetEnemyNormal!J101</f>
        <v>0</v>
      </c>
      <c r="F96" s="18">
        <f>SetEnemyNormal!L101</f>
        <v>0</v>
      </c>
      <c r="G96" s="18">
        <f>SetEnemyNormal!M101</f>
        <v>0</v>
      </c>
      <c r="H96" s="18">
        <f>SetEnemyNormal!N101</f>
        <v>0</v>
      </c>
      <c r="I96" s="18">
        <f>SetEnemyNormal!O101</f>
        <v>0</v>
      </c>
      <c r="J96" s="18">
        <f>SetEnemyNormal!P101</f>
        <v>0</v>
      </c>
      <c r="K96" s="18">
        <f>SetEnemyNormal!R101</f>
        <v>0</v>
      </c>
      <c r="L96" s="18">
        <f>SetEnemyNormal!S101</f>
        <v>0</v>
      </c>
    </row>
    <row r="97" spans="1:12" x14ac:dyDescent="0.15">
      <c r="A97" s="17">
        <f>SetEnemyNormal!B102</f>
        <v>0</v>
      </c>
      <c r="B97" s="17">
        <f>SetEnemyNormal!D102</f>
        <v>0</v>
      </c>
      <c r="C97" s="17">
        <f>SetEnemyNormal!F102</f>
        <v>0</v>
      </c>
      <c r="D97" s="17">
        <f>SetEnemyNormal!H102</f>
        <v>0</v>
      </c>
      <c r="E97" s="17">
        <f>SetEnemyNormal!J102</f>
        <v>0</v>
      </c>
      <c r="F97" s="17">
        <f>SetEnemyNormal!L102</f>
        <v>0</v>
      </c>
      <c r="G97" s="17">
        <f>SetEnemyNormal!M102</f>
        <v>0</v>
      </c>
      <c r="H97" s="17">
        <f>SetEnemyNormal!N102</f>
        <v>0</v>
      </c>
      <c r="I97" s="17">
        <f>SetEnemyNormal!O102</f>
        <v>0</v>
      </c>
      <c r="J97" s="17">
        <f>SetEnemyNormal!P102</f>
        <v>0</v>
      </c>
      <c r="K97" s="17">
        <f>SetEnemyNormal!R102</f>
        <v>0</v>
      </c>
      <c r="L97" s="17">
        <f>SetEnemyNormal!S102</f>
        <v>0</v>
      </c>
    </row>
    <row r="98" spans="1:12" x14ac:dyDescent="0.15">
      <c r="A98" s="18">
        <f>SetEnemyNormal!B103</f>
        <v>0</v>
      </c>
      <c r="B98" s="18">
        <f>SetEnemyNormal!D103</f>
        <v>0</v>
      </c>
      <c r="C98" s="18">
        <f>SetEnemyNormal!F103</f>
        <v>0</v>
      </c>
      <c r="D98" s="18">
        <f>SetEnemyNormal!H103</f>
        <v>0</v>
      </c>
      <c r="E98" s="18">
        <f>SetEnemyNormal!J103</f>
        <v>0</v>
      </c>
      <c r="F98" s="18">
        <f>SetEnemyNormal!L103</f>
        <v>0</v>
      </c>
      <c r="G98" s="18">
        <f>SetEnemyNormal!M103</f>
        <v>0</v>
      </c>
      <c r="H98" s="18">
        <f>SetEnemyNormal!N103</f>
        <v>0</v>
      </c>
      <c r="I98" s="18">
        <f>SetEnemyNormal!O103</f>
        <v>0</v>
      </c>
      <c r="J98" s="18">
        <f>SetEnemyNormal!P103</f>
        <v>0</v>
      </c>
      <c r="K98" s="18">
        <f>SetEnemyNormal!R103</f>
        <v>0</v>
      </c>
      <c r="L98" s="18">
        <f>SetEnemyNormal!S103</f>
        <v>0</v>
      </c>
    </row>
    <row r="99" spans="1:12" x14ac:dyDescent="0.15">
      <c r="A99" s="17">
        <f>SetEnemyNormal!B104</f>
        <v>0</v>
      </c>
      <c r="B99" s="17">
        <f>SetEnemyNormal!D104</f>
        <v>0</v>
      </c>
      <c r="C99" s="17">
        <f>SetEnemyNormal!F104</f>
        <v>0</v>
      </c>
      <c r="D99" s="17">
        <f>SetEnemyNormal!H104</f>
        <v>0</v>
      </c>
      <c r="E99" s="17">
        <f>SetEnemyNormal!J104</f>
        <v>0</v>
      </c>
      <c r="F99" s="17">
        <f>SetEnemyNormal!L104</f>
        <v>0</v>
      </c>
      <c r="G99" s="17">
        <f>SetEnemyNormal!M104</f>
        <v>0</v>
      </c>
      <c r="H99" s="17">
        <f>SetEnemyNormal!N104</f>
        <v>0</v>
      </c>
      <c r="I99" s="17">
        <f>SetEnemyNormal!O104</f>
        <v>0</v>
      </c>
      <c r="J99" s="17">
        <f>SetEnemyNormal!P104</f>
        <v>0</v>
      </c>
      <c r="K99" s="17">
        <f>SetEnemyNormal!R104</f>
        <v>0</v>
      </c>
      <c r="L99" s="17">
        <f>SetEnemyNormal!S104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99"/>
  <sheetViews>
    <sheetView workbookViewId="0">
      <selection sqref="A1:L99"/>
    </sheetView>
  </sheetViews>
  <sheetFormatPr defaultRowHeight="13.5" x14ac:dyDescent="0.15"/>
  <cols>
    <col min="1" max="16384" width="9" style="16"/>
  </cols>
  <sheetData>
    <row r="1" spans="1:12" x14ac:dyDescent="0.15">
      <c r="A1" s="17">
        <f>SetEnemyHard!B6</f>
        <v>200</v>
      </c>
      <c r="B1" s="17">
        <f>SetEnemyHard!D6</f>
        <v>0</v>
      </c>
      <c r="C1" s="17">
        <f>SetEnemyHard!F6</f>
        <v>2</v>
      </c>
      <c r="D1" s="17">
        <f>SetEnemyHard!H6</f>
        <v>4</v>
      </c>
      <c r="E1" s="17">
        <f>SetEnemyHard!J6</f>
        <v>0</v>
      </c>
      <c r="F1" s="17">
        <f>SetEnemyHard!L6</f>
        <v>0</v>
      </c>
      <c r="G1" s="17">
        <f>SetEnemyHard!M6</f>
        <v>7</v>
      </c>
      <c r="H1" s="17">
        <f>SetEnemyHard!N6</f>
        <v>1</v>
      </c>
      <c r="I1" s="17">
        <f>SetEnemyHard!O6</f>
        <v>1</v>
      </c>
      <c r="J1" s="17">
        <f>SetEnemyHard!P6</f>
        <v>1</v>
      </c>
      <c r="K1" s="17">
        <f>SetEnemyHard!R6</f>
        <v>0</v>
      </c>
      <c r="L1" s="17">
        <f>SetEnemyHard!S6</f>
        <v>0</v>
      </c>
    </row>
    <row r="2" spans="1:12" x14ac:dyDescent="0.15">
      <c r="A2" s="18">
        <f>SetEnemyHard!B7</f>
        <v>250</v>
      </c>
      <c r="B2" s="18">
        <f>SetEnemyHard!D7</f>
        <v>0</v>
      </c>
      <c r="C2" s="18">
        <f>SetEnemyHard!F7</f>
        <v>2</v>
      </c>
      <c r="D2" s="18">
        <f>SetEnemyHard!H7</f>
        <v>4</v>
      </c>
      <c r="E2" s="18">
        <f>SetEnemyHard!J7</f>
        <v>0</v>
      </c>
      <c r="F2" s="18">
        <f>SetEnemyHard!L7</f>
        <v>0</v>
      </c>
      <c r="G2" s="18">
        <f>SetEnemyHard!M7</f>
        <v>7</v>
      </c>
      <c r="H2" s="18">
        <f>SetEnemyHard!N7</f>
        <v>1</v>
      </c>
      <c r="I2" s="18">
        <f>SetEnemyHard!O7</f>
        <v>1</v>
      </c>
      <c r="J2" s="18">
        <f>SetEnemyHard!P7</f>
        <v>1</v>
      </c>
      <c r="K2" s="18">
        <f>SetEnemyHard!R7</f>
        <v>0</v>
      </c>
      <c r="L2" s="18">
        <f>SetEnemyHard!S7</f>
        <v>0</v>
      </c>
    </row>
    <row r="3" spans="1:12" x14ac:dyDescent="0.15">
      <c r="A3" s="17">
        <f>SetEnemyHard!B8</f>
        <v>300</v>
      </c>
      <c r="B3" s="17">
        <f>SetEnemyHard!D8</f>
        <v>0</v>
      </c>
      <c r="C3" s="17">
        <f>SetEnemyHard!F8</f>
        <v>2</v>
      </c>
      <c r="D3" s="17">
        <f>SetEnemyHard!H8</f>
        <v>2</v>
      </c>
      <c r="E3" s="17">
        <f>SetEnemyHard!J8</f>
        <v>0</v>
      </c>
      <c r="F3" s="17">
        <f>SetEnemyHard!L8</f>
        <v>0</v>
      </c>
      <c r="G3" s="17">
        <f>SetEnemyHard!M8</f>
        <v>7</v>
      </c>
      <c r="H3" s="17">
        <f>SetEnemyHard!N8</f>
        <v>1</v>
      </c>
      <c r="I3" s="17">
        <f>SetEnemyHard!O8</f>
        <v>1</v>
      </c>
      <c r="J3" s="17">
        <f>SetEnemyHard!P8</f>
        <v>1</v>
      </c>
      <c r="K3" s="17">
        <f>SetEnemyHard!R8</f>
        <v>0</v>
      </c>
      <c r="L3" s="17">
        <f>SetEnemyHard!S8</f>
        <v>0</v>
      </c>
    </row>
    <row r="4" spans="1:12" x14ac:dyDescent="0.15">
      <c r="A4" s="18">
        <f>SetEnemyHard!B9</f>
        <v>400</v>
      </c>
      <c r="B4" s="18">
        <f>SetEnemyHard!D9</f>
        <v>5</v>
      </c>
      <c r="C4" s="18">
        <f>SetEnemyHard!F9</f>
        <v>4</v>
      </c>
      <c r="D4" s="18">
        <f>SetEnemyHard!H9</f>
        <v>4</v>
      </c>
      <c r="E4" s="18">
        <f>SetEnemyHard!J9</f>
        <v>0</v>
      </c>
      <c r="F4" s="18">
        <f>SetEnemyHard!L9</f>
        <v>5</v>
      </c>
      <c r="G4" s="18">
        <f>SetEnemyHard!M9</f>
        <v>7</v>
      </c>
      <c r="H4" s="18">
        <f>SetEnemyHard!N9</f>
        <v>1</v>
      </c>
      <c r="I4" s="18">
        <f>SetEnemyHard!O9</f>
        <v>1</v>
      </c>
      <c r="J4" s="18">
        <f>SetEnemyHard!P9</f>
        <v>1</v>
      </c>
      <c r="K4" s="18">
        <f>SetEnemyHard!R9</f>
        <v>0</v>
      </c>
      <c r="L4" s="18">
        <f>SetEnemyHard!S9</f>
        <v>0</v>
      </c>
    </row>
    <row r="5" spans="1:12" x14ac:dyDescent="0.15">
      <c r="A5" s="17">
        <f>SetEnemyHard!B10</f>
        <v>450</v>
      </c>
      <c r="B5" s="17">
        <f>SetEnemyHard!D10</f>
        <v>5</v>
      </c>
      <c r="C5" s="17">
        <f>SetEnemyHard!F10</f>
        <v>4</v>
      </c>
      <c r="D5" s="17">
        <f>SetEnemyHard!H10</f>
        <v>4</v>
      </c>
      <c r="E5" s="17">
        <f>SetEnemyHard!J10</f>
        <v>0</v>
      </c>
      <c r="F5" s="17">
        <f>SetEnemyHard!L10</f>
        <v>5</v>
      </c>
      <c r="G5" s="17">
        <f>SetEnemyHard!M10</f>
        <v>7</v>
      </c>
      <c r="H5" s="17">
        <f>SetEnemyHard!N10</f>
        <v>1</v>
      </c>
      <c r="I5" s="17">
        <f>SetEnemyHard!O10</f>
        <v>1</v>
      </c>
      <c r="J5" s="17">
        <f>SetEnemyHard!P10</f>
        <v>1</v>
      </c>
      <c r="K5" s="17">
        <f>SetEnemyHard!R10</f>
        <v>0</v>
      </c>
      <c r="L5" s="17">
        <f>SetEnemyHard!S10</f>
        <v>0</v>
      </c>
    </row>
    <row r="6" spans="1:12" x14ac:dyDescent="0.15">
      <c r="A6" s="18">
        <f>SetEnemyHard!B11</f>
        <v>500</v>
      </c>
      <c r="B6" s="18">
        <f>SetEnemyHard!D11</f>
        <v>5</v>
      </c>
      <c r="C6" s="18">
        <f>SetEnemyHard!F11</f>
        <v>4</v>
      </c>
      <c r="D6" s="18">
        <f>SetEnemyHard!H11</f>
        <v>4</v>
      </c>
      <c r="E6" s="18">
        <f>SetEnemyHard!J11</f>
        <v>0</v>
      </c>
      <c r="F6" s="18">
        <f>SetEnemyHard!L11</f>
        <v>5</v>
      </c>
      <c r="G6" s="18">
        <f>SetEnemyHard!M11</f>
        <v>7</v>
      </c>
      <c r="H6" s="18">
        <f>SetEnemyHard!N11</f>
        <v>1</v>
      </c>
      <c r="I6" s="18">
        <f>SetEnemyHard!O11</f>
        <v>1</v>
      </c>
      <c r="J6" s="18">
        <f>SetEnemyHard!P11</f>
        <v>1</v>
      </c>
      <c r="K6" s="18">
        <f>SetEnemyHard!R11</f>
        <v>0</v>
      </c>
      <c r="L6" s="18">
        <f>SetEnemyHard!S11</f>
        <v>0</v>
      </c>
    </row>
    <row r="7" spans="1:12" x14ac:dyDescent="0.15">
      <c r="A7" s="17">
        <f>SetEnemyHard!B12</f>
        <v>600</v>
      </c>
      <c r="B7" s="17">
        <f>SetEnemyHard!D12</f>
        <v>1</v>
      </c>
      <c r="C7" s="17">
        <f>SetEnemyHard!F12</f>
        <v>3</v>
      </c>
      <c r="D7" s="17">
        <f>SetEnemyHard!H12</f>
        <v>4</v>
      </c>
      <c r="E7" s="17">
        <f>SetEnemyHard!J12</f>
        <v>0</v>
      </c>
      <c r="F7" s="17">
        <f>SetEnemyHard!L12</f>
        <v>7</v>
      </c>
      <c r="G7" s="17">
        <f>SetEnemyHard!M12</f>
        <v>7</v>
      </c>
      <c r="H7" s="17">
        <f>SetEnemyHard!N12</f>
        <v>1</v>
      </c>
      <c r="I7" s="17">
        <f>SetEnemyHard!O12</f>
        <v>1</v>
      </c>
      <c r="J7" s="17">
        <f>SetEnemyHard!P12</f>
        <v>1</v>
      </c>
      <c r="K7" s="17">
        <f>SetEnemyHard!R12</f>
        <v>0</v>
      </c>
      <c r="L7" s="17">
        <f>SetEnemyHard!S12</f>
        <v>0</v>
      </c>
    </row>
    <row r="8" spans="1:12" x14ac:dyDescent="0.15">
      <c r="A8" s="18">
        <f>SetEnemyHard!B13</f>
        <v>650</v>
      </c>
      <c r="B8" s="18">
        <f>SetEnemyHard!D13</f>
        <v>1</v>
      </c>
      <c r="C8" s="18">
        <f>SetEnemyHard!F13</f>
        <v>3</v>
      </c>
      <c r="D8" s="18">
        <f>SetEnemyHard!H13</f>
        <v>4</v>
      </c>
      <c r="E8" s="18">
        <f>SetEnemyHard!J13</f>
        <v>0</v>
      </c>
      <c r="F8" s="18">
        <f>SetEnemyHard!L13</f>
        <v>7</v>
      </c>
      <c r="G8" s="18">
        <f>SetEnemyHard!M13</f>
        <v>7</v>
      </c>
      <c r="H8" s="18">
        <f>SetEnemyHard!N13</f>
        <v>1</v>
      </c>
      <c r="I8" s="18">
        <f>SetEnemyHard!O13</f>
        <v>1</v>
      </c>
      <c r="J8" s="18">
        <f>SetEnemyHard!P13</f>
        <v>1</v>
      </c>
      <c r="K8" s="18">
        <f>SetEnemyHard!R13</f>
        <v>0</v>
      </c>
      <c r="L8" s="18">
        <f>SetEnemyHard!S13</f>
        <v>0</v>
      </c>
    </row>
    <row r="9" spans="1:12" x14ac:dyDescent="0.15">
      <c r="A9" s="17">
        <f>SetEnemyHard!B14</f>
        <v>700</v>
      </c>
      <c r="B9" s="17">
        <f>SetEnemyHard!D14</f>
        <v>1</v>
      </c>
      <c r="C9" s="17">
        <f>SetEnemyHard!F14</f>
        <v>3</v>
      </c>
      <c r="D9" s="17">
        <f>SetEnemyHard!H14</f>
        <v>4</v>
      </c>
      <c r="E9" s="17">
        <f>SetEnemyHard!J14</f>
        <v>0</v>
      </c>
      <c r="F9" s="17">
        <f>SetEnemyHard!L14</f>
        <v>7</v>
      </c>
      <c r="G9" s="17">
        <f>SetEnemyHard!M14</f>
        <v>7</v>
      </c>
      <c r="H9" s="17">
        <f>SetEnemyHard!N14</f>
        <v>1</v>
      </c>
      <c r="I9" s="17">
        <f>SetEnemyHard!O14</f>
        <v>1</v>
      </c>
      <c r="J9" s="17">
        <f>SetEnemyHard!P14</f>
        <v>1</v>
      </c>
      <c r="K9" s="17">
        <f>SetEnemyHard!R14</f>
        <v>0</v>
      </c>
      <c r="L9" s="17">
        <f>SetEnemyHard!S14</f>
        <v>0</v>
      </c>
    </row>
    <row r="10" spans="1:12" x14ac:dyDescent="0.15">
      <c r="A10" s="18">
        <f>SetEnemyHard!B15</f>
        <v>800</v>
      </c>
      <c r="B10" s="18">
        <f>SetEnemyHard!D15</f>
        <v>3</v>
      </c>
      <c r="C10" s="18">
        <f>SetEnemyHard!F15</f>
        <v>7</v>
      </c>
      <c r="D10" s="18">
        <f>SetEnemyHard!H15</f>
        <v>4</v>
      </c>
      <c r="E10" s="18">
        <f>SetEnemyHard!J15</f>
        <v>0</v>
      </c>
      <c r="F10" s="18">
        <f>SetEnemyHard!L15</f>
        <v>3</v>
      </c>
      <c r="G10" s="18">
        <f>SetEnemyHard!M15</f>
        <v>7</v>
      </c>
      <c r="H10" s="18">
        <f>SetEnemyHard!N15</f>
        <v>1</v>
      </c>
      <c r="I10" s="18">
        <f>SetEnemyHard!O15</f>
        <v>1</v>
      </c>
      <c r="J10" s="18">
        <f>SetEnemyHard!P15</f>
        <v>1</v>
      </c>
      <c r="K10" s="18">
        <f>SetEnemyHard!R15</f>
        <v>0</v>
      </c>
      <c r="L10" s="18">
        <f>SetEnemyHard!S15</f>
        <v>0</v>
      </c>
    </row>
    <row r="11" spans="1:12" x14ac:dyDescent="0.15">
      <c r="A11" s="17">
        <f>SetEnemyHard!B16</f>
        <v>850</v>
      </c>
      <c r="B11" s="17">
        <f>SetEnemyHard!D16</f>
        <v>3</v>
      </c>
      <c r="C11" s="17">
        <f>SetEnemyHard!F16</f>
        <v>7</v>
      </c>
      <c r="D11" s="17">
        <f>SetEnemyHard!H16</f>
        <v>4</v>
      </c>
      <c r="E11" s="17">
        <f>SetEnemyHard!J16</f>
        <v>0</v>
      </c>
      <c r="F11" s="17">
        <f>SetEnemyHard!L16</f>
        <v>3</v>
      </c>
      <c r="G11" s="17">
        <f>SetEnemyHard!M16</f>
        <v>7</v>
      </c>
      <c r="H11" s="17">
        <f>SetEnemyHard!N16</f>
        <v>1</v>
      </c>
      <c r="I11" s="17">
        <f>SetEnemyHard!O16</f>
        <v>1</v>
      </c>
      <c r="J11" s="17">
        <f>SetEnemyHard!P16</f>
        <v>1</v>
      </c>
      <c r="K11" s="17">
        <f>SetEnemyHard!R16</f>
        <v>0</v>
      </c>
      <c r="L11" s="17">
        <f>SetEnemyHard!S16</f>
        <v>0</v>
      </c>
    </row>
    <row r="12" spans="1:12" x14ac:dyDescent="0.15">
      <c r="A12" s="18">
        <f>SetEnemyHard!B17</f>
        <v>900</v>
      </c>
      <c r="B12" s="18">
        <f>SetEnemyHard!D17</f>
        <v>3</v>
      </c>
      <c r="C12" s="18">
        <f>SetEnemyHard!F17</f>
        <v>7</v>
      </c>
      <c r="D12" s="18">
        <f>SetEnemyHard!H17</f>
        <v>4</v>
      </c>
      <c r="E12" s="18">
        <f>SetEnemyHard!J17</f>
        <v>0</v>
      </c>
      <c r="F12" s="18">
        <f>SetEnemyHard!L17</f>
        <v>3</v>
      </c>
      <c r="G12" s="18">
        <f>SetEnemyHard!M17</f>
        <v>7</v>
      </c>
      <c r="H12" s="18">
        <f>SetEnemyHard!N17</f>
        <v>1</v>
      </c>
      <c r="I12" s="18">
        <f>SetEnemyHard!O17</f>
        <v>1</v>
      </c>
      <c r="J12" s="18">
        <f>SetEnemyHard!P17</f>
        <v>1</v>
      </c>
      <c r="K12" s="18">
        <f>SetEnemyHard!R17</f>
        <v>0</v>
      </c>
      <c r="L12" s="18">
        <f>SetEnemyHard!S17</f>
        <v>0</v>
      </c>
    </row>
    <row r="13" spans="1:12" x14ac:dyDescent="0.15">
      <c r="A13" s="17">
        <f>SetEnemyHard!B18</f>
        <v>900</v>
      </c>
      <c r="B13" s="17">
        <f>SetEnemyHard!D18</f>
        <v>7</v>
      </c>
      <c r="C13" s="17">
        <f>SetEnemyHard!F18</f>
        <v>4</v>
      </c>
      <c r="D13" s="17">
        <f>SetEnemyHard!H18</f>
        <v>7</v>
      </c>
      <c r="E13" s="17">
        <f>SetEnemyHard!J18</f>
        <v>5</v>
      </c>
      <c r="F13" s="17">
        <f>SetEnemyHard!L18</f>
        <v>4</v>
      </c>
      <c r="G13" s="17">
        <f>SetEnemyHard!M18</f>
        <v>5</v>
      </c>
      <c r="H13" s="17">
        <f>SetEnemyHard!N18</f>
        <v>30</v>
      </c>
      <c r="I13" s="17">
        <f>SetEnemyHard!O18</f>
        <v>6</v>
      </c>
      <c r="J13" s="17">
        <f>SetEnemyHard!P18</f>
        <v>15</v>
      </c>
      <c r="K13" s="17">
        <f>SetEnemyHard!R18</f>
        <v>0</v>
      </c>
      <c r="L13" s="17">
        <f>SetEnemyHard!S18</f>
        <v>0</v>
      </c>
    </row>
    <row r="14" spans="1:12" x14ac:dyDescent="0.15">
      <c r="A14" s="18">
        <f>SetEnemyHard!B19</f>
        <v>1100</v>
      </c>
      <c r="B14" s="18">
        <f>SetEnemyHard!D19</f>
        <v>7</v>
      </c>
      <c r="C14" s="18">
        <f>SetEnemyHard!F19</f>
        <v>2</v>
      </c>
      <c r="D14" s="18">
        <f>SetEnemyHard!H19</f>
        <v>7</v>
      </c>
      <c r="E14" s="18">
        <f>SetEnemyHard!J19</f>
        <v>5</v>
      </c>
      <c r="F14" s="18">
        <f>SetEnemyHard!L19</f>
        <v>4</v>
      </c>
      <c r="G14" s="18">
        <f>SetEnemyHard!M19</f>
        <v>5</v>
      </c>
      <c r="H14" s="18">
        <f>SetEnemyHard!N19</f>
        <v>30</v>
      </c>
      <c r="I14" s="18">
        <f>SetEnemyHard!O19</f>
        <v>6</v>
      </c>
      <c r="J14" s="18">
        <f>SetEnemyHard!P19</f>
        <v>15</v>
      </c>
      <c r="K14" s="18">
        <f>SetEnemyHard!R19</f>
        <v>0</v>
      </c>
      <c r="L14" s="18">
        <f>SetEnemyHard!S19</f>
        <v>0</v>
      </c>
    </row>
    <row r="15" spans="1:12" x14ac:dyDescent="0.15">
      <c r="A15" s="17">
        <f>SetEnemyHard!B20</f>
        <v>1300</v>
      </c>
      <c r="B15" s="17">
        <f>SetEnemyHard!D20</f>
        <v>7</v>
      </c>
      <c r="C15" s="17">
        <f>SetEnemyHard!F20</f>
        <v>6</v>
      </c>
      <c r="D15" s="17">
        <f>SetEnemyHard!H20</f>
        <v>7</v>
      </c>
      <c r="E15" s="17">
        <f>SetEnemyHard!J20</f>
        <v>5</v>
      </c>
      <c r="F15" s="17">
        <f>SetEnemyHard!L20</f>
        <v>4</v>
      </c>
      <c r="G15" s="17">
        <f>SetEnemyHard!M20</f>
        <v>5</v>
      </c>
      <c r="H15" s="17">
        <f>SetEnemyHard!N20</f>
        <v>30</v>
      </c>
      <c r="I15" s="17">
        <f>SetEnemyHard!O20</f>
        <v>6</v>
      </c>
      <c r="J15" s="17">
        <f>SetEnemyHard!P20</f>
        <v>15</v>
      </c>
      <c r="K15" s="17">
        <f>SetEnemyHard!R20</f>
        <v>0</v>
      </c>
      <c r="L15" s="17">
        <f>SetEnemyHard!S20</f>
        <v>0</v>
      </c>
    </row>
    <row r="16" spans="1:12" x14ac:dyDescent="0.15">
      <c r="A16" s="18">
        <f>SetEnemyHard!B21</f>
        <v>1350</v>
      </c>
      <c r="B16" s="18">
        <f>SetEnemyHard!D21</f>
        <v>3</v>
      </c>
      <c r="C16" s="18">
        <f>SetEnemyHard!F21</f>
        <v>1</v>
      </c>
      <c r="D16" s="18">
        <f>SetEnemyHard!H21</f>
        <v>0</v>
      </c>
      <c r="E16" s="18">
        <f>SetEnemyHard!J21</f>
        <v>0</v>
      </c>
      <c r="F16" s="18">
        <f>SetEnemyHard!L21</f>
        <v>3</v>
      </c>
      <c r="G16" s="18">
        <f>SetEnemyHard!M21</f>
        <v>7</v>
      </c>
      <c r="H16" s="18">
        <f>SetEnemyHard!N21</f>
        <v>20</v>
      </c>
      <c r="I16" s="18">
        <f>SetEnemyHard!O21</f>
        <v>4</v>
      </c>
      <c r="J16" s="18">
        <f>SetEnemyHard!P21</f>
        <v>3</v>
      </c>
      <c r="K16" s="18">
        <f>SetEnemyHard!R21</f>
        <v>0</v>
      </c>
      <c r="L16" s="18">
        <f>SetEnemyHard!S21</f>
        <v>0</v>
      </c>
    </row>
    <row r="17" spans="1:12" x14ac:dyDescent="0.15">
      <c r="A17" s="17">
        <f>SetEnemyHard!B22</f>
        <v>1400</v>
      </c>
      <c r="B17" s="17">
        <f>SetEnemyHard!D22</f>
        <v>3</v>
      </c>
      <c r="C17" s="17">
        <f>SetEnemyHard!F22</f>
        <v>1</v>
      </c>
      <c r="D17" s="17">
        <f>SetEnemyHard!H22</f>
        <v>0</v>
      </c>
      <c r="E17" s="17">
        <f>SetEnemyHard!J22</f>
        <v>0</v>
      </c>
      <c r="F17" s="17">
        <f>SetEnemyHard!L22</f>
        <v>3</v>
      </c>
      <c r="G17" s="17">
        <f>SetEnemyHard!M22</f>
        <v>7</v>
      </c>
      <c r="H17" s="17">
        <f>SetEnemyHard!N22</f>
        <v>20</v>
      </c>
      <c r="I17" s="17">
        <f>SetEnemyHard!O22</f>
        <v>4</v>
      </c>
      <c r="J17" s="17">
        <f>SetEnemyHard!P22</f>
        <v>3</v>
      </c>
      <c r="K17" s="17">
        <f>SetEnemyHard!R22</f>
        <v>0</v>
      </c>
      <c r="L17" s="17">
        <f>SetEnemyHard!S22</f>
        <v>0</v>
      </c>
    </row>
    <row r="18" spans="1:12" x14ac:dyDescent="0.15">
      <c r="A18" s="18">
        <f>SetEnemyHard!B23</f>
        <v>1450</v>
      </c>
      <c r="B18" s="18">
        <f>SetEnemyHard!D23</f>
        <v>3</v>
      </c>
      <c r="C18" s="18">
        <f>SetEnemyHard!F23</f>
        <v>1</v>
      </c>
      <c r="D18" s="18">
        <f>SetEnemyHard!H23</f>
        <v>0</v>
      </c>
      <c r="E18" s="18">
        <f>SetEnemyHard!J23</f>
        <v>0</v>
      </c>
      <c r="F18" s="18">
        <f>SetEnemyHard!L23</f>
        <v>3</v>
      </c>
      <c r="G18" s="18">
        <f>SetEnemyHard!M23</f>
        <v>7</v>
      </c>
      <c r="H18" s="18">
        <f>SetEnemyHard!N23</f>
        <v>20</v>
      </c>
      <c r="I18" s="18">
        <f>SetEnemyHard!O23</f>
        <v>4</v>
      </c>
      <c r="J18" s="18">
        <f>SetEnemyHard!P23</f>
        <v>3</v>
      </c>
      <c r="K18" s="18">
        <f>SetEnemyHard!R23</f>
        <v>0</v>
      </c>
      <c r="L18" s="18">
        <f>SetEnemyHard!S23</f>
        <v>0</v>
      </c>
    </row>
    <row r="19" spans="1:12" x14ac:dyDescent="0.15">
      <c r="A19" s="17">
        <f>SetEnemyHard!B24</f>
        <v>1550</v>
      </c>
      <c r="B19" s="17">
        <f>SetEnemyHard!D24</f>
        <v>7</v>
      </c>
      <c r="C19" s="17">
        <f>SetEnemyHard!F24</f>
        <v>4</v>
      </c>
      <c r="D19" s="17">
        <f>SetEnemyHard!H24</f>
        <v>7</v>
      </c>
      <c r="E19" s="17">
        <f>SetEnemyHard!J24</f>
        <v>5</v>
      </c>
      <c r="F19" s="17">
        <f>SetEnemyHard!L24</f>
        <v>5</v>
      </c>
      <c r="G19" s="17">
        <f>SetEnemyHard!M24</f>
        <v>5</v>
      </c>
      <c r="H19" s="17">
        <f>SetEnemyHard!N24</f>
        <v>30</v>
      </c>
      <c r="I19" s="17">
        <f>SetEnemyHard!O24</f>
        <v>6</v>
      </c>
      <c r="J19" s="17">
        <f>SetEnemyHard!P24</f>
        <v>21</v>
      </c>
      <c r="K19" s="17">
        <f>SetEnemyHard!R24</f>
        <v>0</v>
      </c>
      <c r="L19" s="17">
        <f>SetEnemyHard!S24</f>
        <v>0</v>
      </c>
    </row>
    <row r="20" spans="1:12" x14ac:dyDescent="0.15">
      <c r="A20" s="18">
        <f>SetEnemyHard!B25</f>
        <v>1650</v>
      </c>
      <c r="B20" s="18">
        <f>SetEnemyHard!D25</f>
        <v>0</v>
      </c>
      <c r="C20" s="18">
        <f>SetEnemyHard!F25</f>
        <v>7</v>
      </c>
      <c r="D20" s="18">
        <f>SetEnemyHard!H25</f>
        <v>1</v>
      </c>
      <c r="E20" s="18">
        <f>SetEnemyHard!J25</f>
        <v>0</v>
      </c>
      <c r="F20" s="18">
        <f>SetEnemyHard!L25</f>
        <v>0</v>
      </c>
      <c r="G20" s="18">
        <f>SetEnemyHard!M25</f>
        <v>7</v>
      </c>
      <c r="H20" s="18">
        <f>SetEnemyHard!N25</f>
        <v>20</v>
      </c>
      <c r="I20" s="18">
        <f>SetEnemyHard!O25</f>
        <v>4</v>
      </c>
      <c r="J20" s="18">
        <f>SetEnemyHard!P25</f>
        <v>3</v>
      </c>
      <c r="K20" s="18">
        <f>SetEnemyHard!R25</f>
        <v>0</v>
      </c>
      <c r="L20" s="18">
        <f>SetEnemyHard!S25</f>
        <v>0</v>
      </c>
    </row>
    <row r="21" spans="1:12" x14ac:dyDescent="0.15">
      <c r="A21" s="17">
        <f>SetEnemyHard!B26</f>
        <v>1700</v>
      </c>
      <c r="B21" s="17">
        <f>SetEnemyHard!D26</f>
        <v>0</v>
      </c>
      <c r="C21" s="17">
        <f>SetEnemyHard!F26</f>
        <v>7</v>
      </c>
      <c r="D21" s="17">
        <f>SetEnemyHard!H26</f>
        <v>1</v>
      </c>
      <c r="E21" s="17">
        <f>SetEnemyHard!J26</f>
        <v>0</v>
      </c>
      <c r="F21" s="17">
        <f>SetEnemyHard!L26</f>
        <v>0</v>
      </c>
      <c r="G21" s="17">
        <f>SetEnemyHard!M26</f>
        <v>7</v>
      </c>
      <c r="H21" s="17">
        <f>SetEnemyHard!N26</f>
        <v>20</v>
      </c>
      <c r="I21" s="17">
        <f>SetEnemyHard!O26</f>
        <v>4</v>
      </c>
      <c r="J21" s="17">
        <f>SetEnemyHard!P26</f>
        <v>3</v>
      </c>
      <c r="K21" s="17">
        <f>SetEnemyHard!R26</f>
        <v>0</v>
      </c>
      <c r="L21" s="17">
        <f>SetEnemyHard!S26</f>
        <v>0</v>
      </c>
    </row>
    <row r="22" spans="1:12" x14ac:dyDescent="0.15">
      <c r="A22" s="18">
        <f>SetEnemyHard!B27</f>
        <v>1750</v>
      </c>
      <c r="B22" s="18">
        <f>SetEnemyHard!D27</f>
        <v>0</v>
      </c>
      <c r="C22" s="18">
        <f>SetEnemyHard!F27</f>
        <v>7</v>
      </c>
      <c r="D22" s="18">
        <f>SetEnemyHard!H27</f>
        <v>1</v>
      </c>
      <c r="E22" s="18">
        <f>SetEnemyHard!J27</f>
        <v>0</v>
      </c>
      <c r="F22" s="18">
        <f>SetEnemyHard!L27</f>
        <v>0</v>
      </c>
      <c r="G22" s="18">
        <f>SetEnemyHard!M27</f>
        <v>7</v>
      </c>
      <c r="H22" s="18">
        <f>SetEnemyHard!N27</f>
        <v>20</v>
      </c>
      <c r="I22" s="18">
        <f>SetEnemyHard!O27</f>
        <v>4</v>
      </c>
      <c r="J22" s="18">
        <f>SetEnemyHard!P27</f>
        <v>3</v>
      </c>
      <c r="K22" s="18">
        <f>SetEnemyHard!R27</f>
        <v>0</v>
      </c>
      <c r="L22" s="18">
        <f>SetEnemyHard!S27</f>
        <v>0</v>
      </c>
    </row>
    <row r="23" spans="1:12" x14ac:dyDescent="0.15">
      <c r="A23" s="17">
        <f>SetEnemyHard!B28</f>
        <v>1900</v>
      </c>
      <c r="B23" s="17">
        <f>SetEnemyHard!D28</f>
        <v>7</v>
      </c>
      <c r="C23" s="17">
        <f>SetEnemyHard!F28</f>
        <v>4</v>
      </c>
      <c r="D23" s="17">
        <f>SetEnemyHard!H28</f>
        <v>7</v>
      </c>
      <c r="E23" s="17">
        <f>SetEnemyHard!J28</f>
        <v>6</v>
      </c>
      <c r="F23" s="17">
        <f>SetEnemyHard!L28</f>
        <v>4</v>
      </c>
      <c r="G23" s="17">
        <f>SetEnemyHard!M28</f>
        <v>5</v>
      </c>
      <c r="H23" s="17">
        <f>SetEnemyHard!N28</f>
        <v>60</v>
      </c>
      <c r="I23" s="17">
        <f>SetEnemyHard!O28</f>
        <v>5</v>
      </c>
      <c r="J23" s="17">
        <f>SetEnemyHard!P28</f>
        <v>11</v>
      </c>
      <c r="K23" s="17">
        <f>SetEnemyHard!R28</f>
        <v>0</v>
      </c>
      <c r="L23" s="17">
        <f>SetEnemyHard!S28</f>
        <v>0</v>
      </c>
    </row>
    <row r="24" spans="1:12" x14ac:dyDescent="0.15">
      <c r="A24" s="18">
        <f>SetEnemyHard!B29</f>
        <v>2000</v>
      </c>
      <c r="B24" s="18">
        <f>SetEnemyHard!D29</f>
        <v>7</v>
      </c>
      <c r="C24" s="18">
        <f>SetEnemyHard!F29</f>
        <v>6</v>
      </c>
      <c r="D24" s="18">
        <f>SetEnemyHard!H29</f>
        <v>7</v>
      </c>
      <c r="E24" s="18">
        <f>SetEnemyHard!J29</f>
        <v>6</v>
      </c>
      <c r="F24" s="18">
        <f>SetEnemyHard!L29</f>
        <v>4</v>
      </c>
      <c r="G24" s="18">
        <f>SetEnemyHard!M29</f>
        <v>5</v>
      </c>
      <c r="H24" s="18">
        <f>SetEnemyHard!N29</f>
        <v>60</v>
      </c>
      <c r="I24" s="18">
        <f>SetEnemyHard!O29</f>
        <v>5</v>
      </c>
      <c r="J24" s="18">
        <f>SetEnemyHard!P29</f>
        <v>11</v>
      </c>
      <c r="K24" s="18">
        <f>SetEnemyHard!R29</f>
        <v>0</v>
      </c>
      <c r="L24" s="18">
        <f>SetEnemyHard!S29</f>
        <v>0</v>
      </c>
    </row>
    <row r="25" spans="1:12" x14ac:dyDescent="0.15">
      <c r="A25" s="17">
        <f>SetEnemyHard!B30</f>
        <v>2100</v>
      </c>
      <c r="B25" s="17">
        <f>SetEnemyHard!D30</f>
        <v>7</v>
      </c>
      <c r="C25" s="17">
        <f>SetEnemyHard!F30</f>
        <v>2</v>
      </c>
      <c r="D25" s="17">
        <f>SetEnemyHard!H30</f>
        <v>7</v>
      </c>
      <c r="E25" s="17">
        <f>SetEnemyHard!J30</f>
        <v>6</v>
      </c>
      <c r="F25" s="17">
        <f>SetEnemyHard!L30</f>
        <v>4</v>
      </c>
      <c r="G25" s="17">
        <f>SetEnemyHard!M30</f>
        <v>5</v>
      </c>
      <c r="H25" s="17">
        <f>SetEnemyHard!N30</f>
        <v>60</v>
      </c>
      <c r="I25" s="17">
        <f>SetEnemyHard!O30</f>
        <v>5</v>
      </c>
      <c r="J25" s="17">
        <f>SetEnemyHard!P30</f>
        <v>11</v>
      </c>
      <c r="K25" s="17">
        <f>SetEnemyHard!R30</f>
        <v>0</v>
      </c>
      <c r="L25" s="17">
        <f>SetEnemyHard!S30</f>
        <v>0</v>
      </c>
    </row>
    <row r="26" spans="1:12" x14ac:dyDescent="0.15">
      <c r="A26" s="18">
        <f>SetEnemyHard!B31</f>
        <v>2250</v>
      </c>
      <c r="B26" s="18">
        <f>SetEnemyHard!D31</f>
        <v>3</v>
      </c>
      <c r="C26" s="18">
        <f>SetEnemyHard!F31</f>
        <v>1</v>
      </c>
      <c r="D26" s="18">
        <f>SetEnemyHard!H31</f>
        <v>0</v>
      </c>
      <c r="E26" s="18">
        <f>SetEnemyHard!J31</f>
        <v>0</v>
      </c>
      <c r="F26" s="18">
        <f>SetEnemyHard!L31</f>
        <v>3</v>
      </c>
      <c r="G26" s="18">
        <f>SetEnemyHard!M31</f>
        <v>7</v>
      </c>
      <c r="H26" s="18">
        <f>SetEnemyHard!N31</f>
        <v>20</v>
      </c>
      <c r="I26" s="18">
        <f>SetEnemyHard!O31</f>
        <v>4</v>
      </c>
      <c r="J26" s="18">
        <f>SetEnemyHard!P31</f>
        <v>3</v>
      </c>
      <c r="K26" s="18">
        <f>SetEnemyHard!R31</f>
        <v>0</v>
      </c>
      <c r="L26" s="18">
        <f>SetEnemyHard!S31</f>
        <v>0</v>
      </c>
    </row>
    <row r="27" spans="1:12" x14ac:dyDescent="0.15">
      <c r="A27" s="17">
        <f>SetEnemyHard!B32</f>
        <v>2300</v>
      </c>
      <c r="B27" s="17">
        <f>SetEnemyHard!D32</f>
        <v>3</v>
      </c>
      <c r="C27" s="17">
        <f>SetEnemyHard!F32</f>
        <v>1</v>
      </c>
      <c r="D27" s="17">
        <f>SetEnemyHard!H32</f>
        <v>0</v>
      </c>
      <c r="E27" s="17">
        <f>SetEnemyHard!J32</f>
        <v>0</v>
      </c>
      <c r="F27" s="17">
        <f>SetEnemyHard!L32</f>
        <v>3</v>
      </c>
      <c r="G27" s="17">
        <f>SetEnemyHard!M32</f>
        <v>7</v>
      </c>
      <c r="H27" s="17">
        <f>SetEnemyHard!N32</f>
        <v>20</v>
      </c>
      <c r="I27" s="17">
        <f>SetEnemyHard!O32</f>
        <v>4</v>
      </c>
      <c r="J27" s="17">
        <f>SetEnemyHard!P32</f>
        <v>3</v>
      </c>
      <c r="K27" s="17">
        <f>SetEnemyHard!R32</f>
        <v>0</v>
      </c>
      <c r="L27" s="17">
        <f>SetEnemyHard!S32</f>
        <v>0</v>
      </c>
    </row>
    <row r="28" spans="1:12" x14ac:dyDescent="0.15">
      <c r="A28" s="18">
        <f>SetEnemyHard!B33</f>
        <v>2350</v>
      </c>
      <c r="B28" s="18">
        <f>SetEnemyHard!D33</f>
        <v>3</v>
      </c>
      <c r="C28" s="18">
        <f>SetEnemyHard!F33</f>
        <v>1</v>
      </c>
      <c r="D28" s="18">
        <f>SetEnemyHard!H33</f>
        <v>0</v>
      </c>
      <c r="E28" s="18">
        <f>SetEnemyHard!J33</f>
        <v>0</v>
      </c>
      <c r="F28" s="18">
        <f>SetEnemyHard!L33</f>
        <v>3</v>
      </c>
      <c r="G28" s="18">
        <f>SetEnemyHard!M33</f>
        <v>7</v>
      </c>
      <c r="H28" s="18">
        <f>SetEnemyHard!N33</f>
        <v>20</v>
      </c>
      <c r="I28" s="18">
        <f>SetEnemyHard!O33</f>
        <v>4</v>
      </c>
      <c r="J28" s="18">
        <f>SetEnemyHard!P33</f>
        <v>3</v>
      </c>
      <c r="K28" s="18">
        <f>SetEnemyHard!R33</f>
        <v>0</v>
      </c>
      <c r="L28" s="18">
        <f>SetEnemyHard!S33</f>
        <v>0</v>
      </c>
    </row>
    <row r="29" spans="1:12" x14ac:dyDescent="0.15">
      <c r="A29" s="17">
        <f>SetEnemyHard!B34</f>
        <v>2350</v>
      </c>
      <c r="B29" s="17">
        <f>SetEnemyHard!D34</f>
        <v>4</v>
      </c>
      <c r="C29" s="17">
        <f>SetEnemyHard!F34</f>
        <v>7</v>
      </c>
      <c r="D29" s="17">
        <f>SetEnemyHard!H34</f>
        <v>2</v>
      </c>
      <c r="E29" s="17">
        <f>SetEnemyHard!J34</f>
        <v>0</v>
      </c>
      <c r="F29" s="17">
        <f>SetEnemyHard!L34</f>
        <v>4</v>
      </c>
      <c r="G29" s="17">
        <f>SetEnemyHard!M34</f>
        <v>7</v>
      </c>
      <c r="H29" s="17">
        <f>SetEnemyHard!N34</f>
        <v>20</v>
      </c>
      <c r="I29" s="17">
        <f>SetEnemyHard!O34</f>
        <v>4</v>
      </c>
      <c r="J29" s="17">
        <f>SetEnemyHard!P34</f>
        <v>3</v>
      </c>
      <c r="K29" s="17">
        <f>SetEnemyHard!R34</f>
        <v>0</v>
      </c>
      <c r="L29" s="17">
        <f>SetEnemyHard!S34</f>
        <v>0</v>
      </c>
    </row>
    <row r="30" spans="1:12" x14ac:dyDescent="0.15">
      <c r="A30" s="18">
        <f>SetEnemyHard!B35</f>
        <v>2400</v>
      </c>
      <c r="B30" s="18">
        <f>SetEnemyHard!D35</f>
        <v>4</v>
      </c>
      <c r="C30" s="18">
        <f>SetEnemyHard!F35</f>
        <v>7</v>
      </c>
      <c r="D30" s="18">
        <f>SetEnemyHard!H35</f>
        <v>2</v>
      </c>
      <c r="E30" s="18">
        <f>SetEnemyHard!J35</f>
        <v>0</v>
      </c>
      <c r="F30" s="18">
        <f>SetEnemyHard!L35</f>
        <v>4</v>
      </c>
      <c r="G30" s="18">
        <f>SetEnemyHard!M35</f>
        <v>7</v>
      </c>
      <c r="H30" s="18">
        <f>SetEnemyHard!N35</f>
        <v>20</v>
      </c>
      <c r="I30" s="18">
        <f>SetEnemyHard!O35</f>
        <v>4</v>
      </c>
      <c r="J30" s="18">
        <f>SetEnemyHard!P35</f>
        <v>3</v>
      </c>
      <c r="K30" s="18">
        <f>SetEnemyHard!R35</f>
        <v>0</v>
      </c>
      <c r="L30" s="18">
        <f>SetEnemyHard!S35</f>
        <v>0</v>
      </c>
    </row>
    <row r="31" spans="1:12" x14ac:dyDescent="0.15">
      <c r="A31" s="17">
        <f>SetEnemyHard!B36</f>
        <v>2450</v>
      </c>
      <c r="B31" s="17">
        <f>SetEnemyHard!D36</f>
        <v>4</v>
      </c>
      <c r="C31" s="17">
        <f>SetEnemyHard!F36</f>
        <v>7</v>
      </c>
      <c r="D31" s="17">
        <f>SetEnemyHard!H36</f>
        <v>2</v>
      </c>
      <c r="E31" s="17">
        <f>SetEnemyHard!J36</f>
        <v>0</v>
      </c>
      <c r="F31" s="17">
        <f>SetEnemyHard!L36</f>
        <v>4</v>
      </c>
      <c r="G31" s="17">
        <f>SetEnemyHard!M36</f>
        <v>7</v>
      </c>
      <c r="H31" s="17">
        <f>SetEnemyHard!N36</f>
        <v>20</v>
      </c>
      <c r="I31" s="17">
        <f>SetEnemyHard!O36</f>
        <v>4</v>
      </c>
      <c r="J31" s="17">
        <f>SetEnemyHard!P36</f>
        <v>3</v>
      </c>
      <c r="K31" s="17">
        <f>SetEnemyHard!R36</f>
        <v>0</v>
      </c>
      <c r="L31" s="17">
        <f>SetEnemyHard!S36</f>
        <v>0</v>
      </c>
    </row>
    <row r="32" spans="1:12" x14ac:dyDescent="0.15">
      <c r="A32" s="18">
        <f>SetEnemyHard!B37</f>
        <v>2650</v>
      </c>
      <c r="B32" s="18">
        <f>SetEnemyHard!D37</f>
        <v>2</v>
      </c>
      <c r="C32" s="18">
        <f>SetEnemyHard!F37</f>
        <v>2</v>
      </c>
      <c r="D32" s="18">
        <f>SetEnemyHard!H37</f>
        <v>2</v>
      </c>
      <c r="E32" s="18">
        <f>SetEnemyHard!J37</f>
        <v>0</v>
      </c>
      <c r="F32" s="18">
        <f>SetEnemyHard!L37</f>
        <v>2</v>
      </c>
      <c r="G32" s="18">
        <f>SetEnemyHard!M37</f>
        <v>7</v>
      </c>
      <c r="H32" s="18">
        <f>SetEnemyHard!N37</f>
        <v>20</v>
      </c>
      <c r="I32" s="18">
        <f>SetEnemyHard!O37</f>
        <v>4</v>
      </c>
      <c r="J32" s="18">
        <f>SetEnemyHard!P37</f>
        <v>5</v>
      </c>
      <c r="K32" s="18">
        <f>SetEnemyHard!R37</f>
        <v>0</v>
      </c>
      <c r="L32" s="18">
        <f>SetEnemyHard!S37</f>
        <v>0</v>
      </c>
    </row>
    <row r="33" spans="1:12" x14ac:dyDescent="0.15">
      <c r="A33" s="17">
        <f>SetEnemyHard!B38</f>
        <v>2700</v>
      </c>
      <c r="B33" s="17">
        <f>SetEnemyHard!D38</f>
        <v>2</v>
      </c>
      <c r="C33" s="17">
        <f>SetEnemyHard!F38</f>
        <v>2</v>
      </c>
      <c r="D33" s="17">
        <f>SetEnemyHard!H38</f>
        <v>2</v>
      </c>
      <c r="E33" s="17">
        <f>SetEnemyHard!J38</f>
        <v>0</v>
      </c>
      <c r="F33" s="17">
        <f>SetEnemyHard!L38</f>
        <v>2</v>
      </c>
      <c r="G33" s="17">
        <f>SetEnemyHard!M38</f>
        <v>7</v>
      </c>
      <c r="H33" s="17">
        <f>SetEnemyHard!N38</f>
        <v>20</v>
      </c>
      <c r="I33" s="17">
        <f>SetEnemyHard!O38</f>
        <v>4</v>
      </c>
      <c r="J33" s="17">
        <f>SetEnemyHard!P38</f>
        <v>5</v>
      </c>
      <c r="K33" s="17">
        <f>SetEnemyHard!R38</f>
        <v>0</v>
      </c>
      <c r="L33" s="17">
        <f>SetEnemyHard!S38</f>
        <v>0</v>
      </c>
    </row>
    <row r="34" spans="1:12" x14ac:dyDescent="0.15">
      <c r="A34" s="18">
        <f>SetEnemyHard!B39</f>
        <v>2750</v>
      </c>
      <c r="B34" s="18">
        <f>SetEnemyHard!D39</f>
        <v>2</v>
      </c>
      <c r="C34" s="18">
        <f>SetEnemyHard!F39</f>
        <v>2</v>
      </c>
      <c r="D34" s="18">
        <f>SetEnemyHard!H39</f>
        <v>2</v>
      </c>
      <c r="E34" s="18">
        <f>SetEnemyHard!J39</f>
        <v>0</v>
      </c>
      <c r="F34" s="18">
        <f>SetEnemyHard!L39</f>
        <v>2</v>
      </c>
      <c r="G34" s="18">
        <f>SetEnemyHard!M39</f>
        <v>7</v>
      </c>
      <c r="H34" s="18">
        <f>SetEnemyHard!N39</f>
        <v>20</v>
      </c>
      <c r="I34" s="18">
        <f>SetEnemyHard!O39</f>
        <v>4</v>
      </c>
      <c r="J34" s="18">
        <f>SetEnemyHard!P39</f>
        <v>5</v>
      </c>
      <c r="K34" s="18">
        <f>SetEnemyHard!R39</f>
        <v>0</v>
      </c>
      <c r="L34" s="18">
        <f>SetEnemyHard!S39</f>
        <v>0</v>
      </c>
    </row>
    <row r="35" spans="1:12" x14ac:dyDescent="0.15">
      <c r="A35" s="17">
        <f>SetEnemyHard!B40</f>
        <v>2900</v>
      </c>
      <c r="B35" s="17">
        <f>SetEnemyHard!D40</f>
        <v>8</v>
      </c>
      <c r="C35" s="17">
        <f>SetEnemyHard!F40</f>
        <v>7</v>
      </c>
      <c r="D35" s="17">
        <f>SetEnemyHard!H40</f>
        <v>8</v>
      </c>
      <c r="E35" s="17">
        <f>SetEnemyHard!J40</f>
        <v>1</v>
      </c>
      <c r="F35" s="17">
        <f>SetEnemyHard!L40</f>
        <v>25</v>
      </c>
      <c r="G35" s="17">
        <f>SetEnemyHard!M40</f>
        <v>5</v>
      </c>
      <c r="H35" s="17">
        <f>SetEnemyHard!N40</f>
        <v>60</v>
      </c>
      <c r="I35" s="17">
        <f>SetEnemyHard!O40</f>
        <v>0</v>
      </c>
      <c r="J35" s="17">
        <f>SetEnemyHard!P40</f>
        <v>20</v>
      </c>
      <c r="K35" s="17">
        <f>SetEnemyHard!R40</f>
        <v>0</v>
      </c>
      <c r="L35" s="17">
        <f>SetEnemyHard!S40</f>
        <v>0</v>
      </c>
    </row>
    <row r="36" spans="1:12" x14ac:dyDescent="0.15">
      <c r="A36" s="18">
        <f>SetEnemyHard!B41</f>
        <v>2950</v>
      </c>
      <c r="B36" s="18">
        <f>SetEnemyHard!D41</f>
        <v>0</v>
      </c>
      <c r="C36" s="18">
        <f>SetEnemyHard!F41</f>
        <v>2</v>
      </c>
      <c r="D36" s="18">
        <f>SetEnemyHard!H41</f>
        <v>4</v>
      </c>
      <c r="E36" s="18">
        <f>SetEnemyHard!J41</f>
        <v>0</v>
      </c>
      <c r="F36" s="18">
        <f>SetEnemyHard!L41</f>
        <v>0</v>
      </c>
      <c r="G36" s="18">
        <f>SetEnemyHard!M41</f>
        <v>7</v>
      </c>
      <c r="H36" s="18">
        <f>SetEnemyHard!N41</f>
        <v>1</v>
      </c>
      <c r="I36" s="18">
        <f>SetEnemyHard!O41</f>
        <v>1</v>
      </c>
      <c r="J36" s="18">
        <f>SetEnemyHard!P41</f>
        <v>1</v>
      </c>
      <c r="K36" s="18">
        <f>SetEnemyHard!R41</f>
        <v>0</v>
      </c>
      <c r="L36" s="18">
        <f>SetEnemyHard!S41</f>
        <v>0</v>
      </c>
    </row>
    <row r="37" spans="1:12" x14ac:dyDescent="0.15">
      <c r="A37" s="17">
        <f>SetEnemyHard!B42</f>
        <v>3000</v>
      </c>
      <c r="B37" s="17">
        <f>SetEnemyHard!D42</f>
        <v>8</v>
      </c>
      <c r="C37" s="17">
        <f>SetEnemyHard!F42</f>
        <v>1</v>
      </c>
      <c r="D37" s="17">
        <f>SetEnemyHard!H42</f>
        <v>8</v>
      </c>
      <c r="E37" s="17">
        <f>SetEnemyHard!J42</f>
        <v>1</v>
      </c>
      <c r="F37" s="17">
        <f>SetEnemyHard!L42</f>
        <v>25</v>
      </c>
      <c r="G37" s="17">
        <f>SetEnemyHard!M42</f>
        <v>5</v>
      </c>
      <c r="H37" s="17">
        <f>SetEnemyHard!N42</f>
        <v>60</v>
      </c>
      <c r="I37" s="17">
        <f>SetEnemyHard!O42</f>
        <v>0</v>
      </c>
      <c r="J37" s="17">
        <f>SetEnemyHard!P42</f>
        <v>20</v>
      </c>
      <c r="K37" s="17">
        <f>SetEnemyHard!R42</f>
        <v>0</v>
      </c>
      <c r="L37" s="17">
        <f>SetEnemyHard!S42</f>
        <v>0</v>
      </c>
    </row>
    <row r="38" spans="1:12" x14ac:dyDescent="0.15">
      <c r="A38" s="18">
        <f>SetEnemyHard!B43</f>
        <v>3000</v>
      </c>
      <c r="B38" s="18">
        <f>SetEnemyHard!D43</f>
        <v>0</v>
      </c>
      <c r="C38" s="18">
        <f>SetEnemyHard!F43</f>
        <v>2</v>
      </c>
      <c r="D38" s="18">
        <f>SetEnemyHard!H43</f>
        <v>4</v>
      </c>
      <c r="E38" s="18">
        <f>SetEnemyHard!J43</f>
        <v>0</v>
      </c>
      <c r="F38" s="18">
        <f>SetEnemyHard!L43</f>
        <v>0</v>
      </c>
      <c r="G38" s="18">
        <f>SetEnemyHard!M43</f>
        <v>7</v>
      </c>
      <c r="H38" s="18">
        <f>SetEnemyHard!N43</f>
        <v>1</v>
      </c>
      <c r="I38" s="18">
        <f>SetEnemyHard!O43</f>
        <v>1</v>
      </c>
      <c r="J38" s="18">
        <f>SetEnemyHard!P43</f>
        <v>1</v>
      </c>
      <c r="K38" s="18">
        <f>SetEnemyHard!R43</f>
        <v>0</v>
      </c>
      <c r="L38" s="18">
        <f>SetEnemyHard!S43</f>
        <v>0</v>
      </c>
    </row>
    <row r="39" spans="1:12" x14ac:dyDescent="0.15">
      <c r="A39" s="17">
        <f>SetEnemyHard!B44</f>
        <v>3050</v>
      </c>
      <c r="B39" s="17">
        <f>SetEnemyHard!D44</f>
        <v>0</v>
      </c>
      <c r="C39" s="17">
        <f>SetEnemyHard!F44</f>
        <v>2</v>
      </c>
      <c r="D39" s="17">
        <f>SetEnemyHard!H44</f>
        <v>4</v>
      </c>
      <c r="E39" s="17">
        <f>SetEnemyHard!J44</f>
        <v>0</v>
      </c>
      <c r="F39" s="17">
        <f>SetEnemyHard!L44</f>
        <v>0</v>
      </c>
      <c r="G39" s="17">
        <f>SetEnemyHard!M44</f>
        <v>7</v>
      </c>
      <c r="H39" s="17">
        <f>SetEnemyHard!N44</f>
        <v>1</v>
      </c>
      <c r="I39" s="17">
        <f>SetEnemyHard!O44</f>
        <v>1</v>
      </c>
      <c r="J39" s="17">
        <f>SetEnemyHard!P44</f>
        <v>1</v>
      </c>
      <c r="K39" s="17">
        <f>SetEnemyHard!R44</f>
        <v>0</v>
      </c>
      <c r="L39" s="17">
        <f>SetEnemyHard!S44</f>
        <v>0</v>
      </c>
    </row>
    <row r="40" spans="1:12" x14ac:dyDescent="0.15">
      <c r="A40" s="18">
        <f>SetEnemyHard!B45</f>
        <v>3100</v>
      </c>
      <c r="B40" s="18">
        <f>SetEnemyHard!D45</f>
        <v>8</v>
      </c>
      <c r="C40" s="18">
        <f>SetEnemyHard!F45</f>
        <v>4</v>
      </c>
      <c r="D40" s="18">
        <f>SetEnemyHard!H45</f>
        <v>8</v>
      </c>
      <c r="E40" s="18">
        <f>SetEnemyHard!J45</f>
        <v>1</v>
      </c>
      <c r="F40" s="18">
        <f>SetEnemyHard!L45</f>
        <v>25</v>
      </c>
      <c r="G40" s="18">
        <f>SetEnemyHard!M45</f>
        <v>5</v>
      </c>
      <c r="H40" s="18">
        <f>SetEnemyHard!N45</f>
        <v>60</v>
      </c>
      <c r="I40" s="18">
        <f>SetEnemyHard!O45</f>
        <v>0</v>
      </c>
      <c r="J40" s="18">
        <f>SetEnemyHard!P45</f>
        <v>20</v>
      </c>
      <c r="K40" s="18">
        <f>SetEnemyHard!R45</f>
        <v>0</v>
      </c>
      <c r="L40" s="18">
        <f>SetEnemyHard!S45</f>
        <v>0</v>
      </c>
    </row>
    <row r="41" spans="1:12" x14ac:dyDescent="0.15">
      <c r="A41" s="17">
        <f>SetEnemyHard!B46</f>
        <v>3150</v>
      </c>
      <c r="B41" s="17">
        <f>SetEnemyHard!D46</f>
        <v>5</v>
      </c>
      <c r="C41" s="17">
        <f>SetEnemyHard!F46</f>
        <v>4</v>
      </c>
      <c r="D41" s="17">
        <f>SetEnemyHard!H46</f>
        <v>4</v>
      </c>
      <c r="E41" s="17">
        <f>SetEnemyHard!J46</f>
        <v>0</v>
      </c>
      <c r="F41" s="17">
        <f>SetEnemyHard!L46</f>
        <v>5</v>
      </c>
      <c r="G41" s="17">
        <f>SetEnemyHard!M46</f>
        <v>7</v>
      </c>
      <c r="H41" s="17">
        <f>SetEnemyHard!N46</f>
        <v>1</v>
      </c>
      <c r="I41" s="17">
        <f>SetEnemyHard!O46</f>
        <v>1</v>
      </c>
      <c r="J41" s="17">
        <f>SetEnemyHard!P46</f>
        <v>1</v>
      </c>
      <c r="K41" s="17">
        <f>SetEnemyHard!R46</f>
        <v>0</v>
      </c>
      <c r="L41" s="17">
        <f>SetEnemyHard!S46</f>
        <v>0</v>
      </c>
    </row>
    <row r="42" spans="1:12" x14ac:dyDescent="0.15">
      <c r="A42" s="18">
        <f>SetEnemyHard!B47</f>
        <v>3200</v>
      </c>
      <c r="B42" s="18">
        <f>SetEnemyHard!D47</f>
        <v>5</v>
      </c>
      <c r="C42" s="18">
        <f>SetEnemyHard!F47</f>
        <v>4</v>
      </c>
      <c r="D42" s="18">
        <f>SetEnemyHard!H47</f>
        <v>4</v>
      </c>
      <c r="E42" s="18">
        <f>SetEnemyHard!J47</f>
        <v>0</v>
      </c>
      <c r="F42" s="18">
        <f>SetEnemyHard!L47</f>
        <v>5</v>
      </c>
      <c r="G42" s="18">
        <f>SetEnemyHard!M47</f>
        <v>7</v>
      </c>
      <c r="H42" s="18">
        <f>SetEnemyHard!N47</f>
        <v>1</v>
      </c>
      <c r="I42" s="18">
        <f>SetEnemyHard!O47</f>
        <v>1</v>
      </c>
      <c r="J42" s="18">
        <f>SetEnemyHard!P47</f>
        <v>1</v>
      </c>
      <c r="K42" s="18">
        <f>SetEnemyHard!R47</f>
        <v>0</v>
      </c>
      <c r="L42" s="18">
        <f>SetEnemyHard!S47</f>
        <v>0</v>
      </c>
    </row>
    <row r="43" spans="1:12" x14ac:dyDescent="0.15">
      <c r="A43" s="17">
        <f>SetEnemyHard!B48</f>
        <v>3250</v>
      </c>
      <c r="B43" s="17">
        <f>SetEnemyHard!D48</f>
        <v>5</v>
      </c>
      <c r="C43" s="17">
        <f>SetEnemyHard!F48</f>
        <v>4</v>
      </c>
      <c r="D43" s="17">
        <f>SetEnemyHard!H48</f>
        <v>4</v>
      </c>
      <c r="E43" s="17">
        <f>SetEnemyHard!J48</f>
        <v>0</v>
      </c>
      <c r="F43" s="17">
        <f>SetEnemyHard!L48</f>
        <v>5</v>
      </c>
      <c r="G43" s="17">
        <f>SetEnemyHard!M48</f>
        <v>7</v>
      </c>
      <c r="H43" s="17">
        <f>SetEnemyHard!N48</f>
        <v>1</v>
      </c>
      <c r="I43" s="17">
        <f>SetEnemyHard!O48</f>
        <v>1</v>
      </c>
      <c r="J43" s="17">
        <f>SetEnemyHard!P48</f>
        <v>1</v>
      </c>
      <c r="K43" s="17">
        <f>SetEnemyHard!R48</f>
        <v>0</v>
      </c>
      <c r="L43" s="17">
        <f>SetEnemyHard!S48</f>
        <v>0</v>
      </c>
    </row>
    <row r="44" spans="1:12" x14ac:dyDescent="0.15">
      <c r="A44" s="18">
        <f>SetEnemyHard!B49</f>
        <v>3550</v>
      </c>
      <c r="B44" s="18">
        <f>SetEnemyHard!D49</f>
        <v>7</v>
      </c>
      <c r="C44" s="18">
        <f>SetEnemyHard!F49</f>
        <v>4</v>
      </c>
      <c r="D44" s="18">
        <f>SetEnemyHard!H49</f>
        <v>7</v>
      </c>
      <c r="E44" s="18">
        <f>SetEnemyHard!J49</f>
        <v>5</v>
      </c>
      <c r="F44" s="18">
        <f>SetEnemyHard!L49</f>
        <v>5</v>
      </c>
      <c r="G44" s="18">
        <f>SetEnemyHard!M49</f>
        <v>5</v>
      </c>
      <c r="H44" s="18">
        <f>SetEnemyHard!N49</f>
        <v>30</v>
      </c>
      <c r="I44" s="18">
        <f>SetEnemyHard!O49</f>
        <v>6</v>
      </c>
      <c r="J44" s="18">
        <f>SetEnemyHard!P49</f>
        <v>21</v>
      </c>
      <c r="K44" s="18">
        <f>SetEnemyHard!R49</f>
        <v>0</v>
      </c>
      <c r="L44" s="18">
        <f>SetEnemyHard!S49</f>
        <v>0</v>
      </c>
    </row>
    <row r="45" spans="1:12" x14ac:dyDescent="0.15">
      <c r="A45" s="17">
        <f>SetEnemyHard!B50</f>
        <v>3550</v>
      </c>
      <c r="B45" s="17">
        <f>SetEnemyHard!D50</f>
        <v>0</v>
      </c>
      <c r="C45" s="17">
        <f>SetEnemyHard!F50</f>
        <v>7</v>
      </c>
      <c r="D45" s="17">
        <f>SetEnemyHard!H50</f>
        <v>1</v>
      </c>
      <c r="E45" s="17">
        <f>SetEnemyHard!J50</f>
        <v>0</v>
      </c>
      <c r="F45" s="17">
        <f>SetEnemyHard!L50</f>
        <v>0</v>
      </c>
      <c r="G45" s="17">
        <f>SetEnemyHard!M50</f>
        <v>7</v>
      </c>
      <c r="H45" s="17">
        <f>SetEnemyHard!N50</f>
        <v>20</v>
      </c>
      <c r="I45" s="17">
        <f>SetEnemyHard!O50</f>
        <v>4</v>
      </c>
      <c r="J45" s="17">
        <f>SetEnemyHard!P50</f>
        <v>5</v>
      </c>
      <c r="K45" s="17">
        <f>SetEnemyHard!R50</f>
        <v>0</v>
      </c>
      <c r="L45" s="17">
        <f>SetEnemyHard!S50</f>
        <v>0</v>
      </c>
    </row>
    <row r="46" spans="1:12" x14ac:dyDescent="0.15">
      <c r="A46" s="18">
        <f>SetEnemyHard!B51</f>
        <v>3600</v>
      </c>
      <c r="B46" s="18">
        <f>SetEnemyHard!D51</f>
        <v>0</v>
      </c>
      <c r="C46" s="18">
        <f>SetEnemyHard!F51</f>
        <v>7</v>
      </c>
      <c r="D46" s="18">
        <f>SetEnemyHard!H51</f>
        <v>1</v>
      </c>
      <c r="E46" s="18">
        <f>SetEnemyHard!J51</f>
        <v>0</v>
      </c>
      <c r="F46" s="18">
        <f>SetEnemyHard!L51</f>
        <v>0</v>
      </c>
      <c r="G46" s="18">
        <f>SetEnemyHard!M51</f>
        <v>7</v>
      </c>
      <c r="H46" s="18">
        <f>SetEnemyHard!N51</f>
        <v>20</v>
      </c>
      <c r="I46" s="18">
        <f>SetEnemyHard!O51</f>
        <v>4</v>
      </c>
      <c r="J46" s="18">
        <f>SetEnemyHard!P51</f>
        <v>5</v>
      </c>
      <c r="K46" s="18">
        <f>SetEnemyHard!R51</f>
        <v>0</v>
      </c>
      <c r="L46" s="18">
        <f>SetEnemyHard!S51</f>
        <v>0</v>
      </c>
    </row>
    <row r="47" spans="1:12" x14ac:dyDescent="0.15">
      <c r="A47" s="17">
        <f>SetEnemyHard!B52</f>
        <v>3650</v>
      </c>
      <c r="B47" s="17">
        <f>SetEnemyHard!D52</f>
        <v>0</v>
      </c>
      <c r="C47" s="17">
        <f>SetEnemyHard!F52</f>
        <v>7</v>
      </c>
      <c r="D47" s="17">
        <f>SetEnemyHard!H52</f>
        <v>1</v>
      </c>
      <c r="E47" s="17">
        <f>SetEnemyHard!J52</f>
        <v>0</v>
      </c>
      <c r="F47" s="17">
        <f>SetEnemyHard!L52</f>
        <v>0</v>
      </c>
      <c r="G47" s="17">
        <f>SetEnemyHard!M52</f>
        <v>7</v>
      </c>
      <c r="H47" s="17">
        <f>SetEnemyHard!N52</f>
        <v>20</v>
      </c>
      <c r="I47" s="17">
        <f>SetEnemyHard!O52</f>
        <v>4</v>
      </c>
      <c r="J47" s="17">
        <f>SetEnemyHard!P52</f>
        <v>5</v>
      </c>
      <c r="K47" s="17">
        <f>SetEnemyHard!R52</f>
        <v>0</v>
      </c>
      <c r="L47" s="17">
        <f>SetEnemyHard!S52</f>
        <v>0</v>
      </c>
    </row>
    <row r="48" spans="1:12" x14ac:dyDescent="0.15">
      <c r="A48" s="18">
        <f>SetEnemyHard!B53</f>
        <v>3750</v>
      </c>
      <c r="B48" s="18">
        <f>SetEnemyHard!D53</f>
        <v>0</v>
      </c>
      <c r="C48" s="18">
        <f>SetEnemyHard!F53</f>
        <v>7</v>
      </c>
      <c r="D48" s="18">
        <f>SetEnemyHard!H53</f>
        <v>4</v>
      </c>
      <c r="E48" s="18">
        <f>SetEnemyHard!J53</f>
        <v>0</v>
      </c>
      <c r="F48" s="18">
        <f>SetEnemyHard!L53</f>
        <v>0</v>
      </c>
      <c r="G48" s="18">
        <f>SetEnemyHard!M53</f>
        <v>7</v>
      </c>
      <c r="H48" s="18">
        <f>SetEnemyHard!N53</f>
        <v>1</v>
      </c>
      <c r="I48" s="18">
        <f>SetEnemyHard!O53</f>
        <v>1</v>
      </c>
      <c r="J48" s="18">
        <f>SetEnemyHard!P53</f>
        <v>1</v>
      </c>
      <c r="K48" s="18">
        <f>SetEnemyHard!R53</f>
        <v>0</v>
      </c>
      <c r="L48" s="18">
        <f>SetEnemyHard!S53</f>
        <v>0</v>
      </c>
    </row>
    <row r="49" spans="1:12" x14ac:dyDescent="0.15">
      <c r="A49" s="17">
        <f>SetEnemyHard!B54</f>
        <v>3800</v>
      </c>
      <c r="B49" s="17">
        <f>SetEnemyHard!D54</f>
        <v>0</v>
      </c>
      <c r="C49" s="17">
        <f>SetEnemyHard!F54</f>
        <v>7</v>
      </c>
      <c r="D49" s="17">
        <f>SetEnemyHard!H54</f>
        <v>4</v>
      </c>
      <c r="E49" s="17">
        <f>SetEnemyHard!J54</f>
        <v>0</v>
      </c>
      <c r="F49" s="17">
        <f>SetEnemyHard!L54</f>
        <v>0</v>
      </c>
      <c r="G49" s="17">
        <f>SetEnemyHard!M54</f>
        <v>7</v>
      </c>
      <c r="H49" s="17">
        <f>SetEnemyHard!N54</f>
        <v>1</v>
      </c>
      <c r="I49" s="17">
        <f>SetEnemyHard!O54</f>
        <v>1</v>
      </c>
      <c r="J49" s="17">
        <f>SetEnemyHard!P54</f>
        <v>1</v>
      </c>
      <c r="K49" s="17">
        <f>SetEnemyHard!R54</f>
        <v>0</v>
      </c>
      <c r="L49" s="17">
        <f>SetEnemyHard!S54</f>
        <v>0</v>
      </c>
    </row>
    <row r="50" spans="1:12" x14ac:dyDescent="0.15">
      <c r="A50" s="18">
        <f>SetEnemyHard!B55</f>
        <v>3800</v>
      </c>
      <c r="B50" s="18">
        <f>SetEnemyHard!D55</f>
        <v>7</v>
      </c>
      <c r="C50" s="18">
        <f>SetEnemyHard!F55</f>
        <v>4</v>
      </c>
      <c r="D50" s="18">
        <f>SetEnemyHard!H55</f>
        <v>7</v>
      </c>
      <c r="E50" s="18">
        <f>SetEnemyHard!J55</f>
        <v>5</v>
      </c>
      <c r="F50" s="18">
        <f>SetEnemyHard!L55</f>
        <v>4</v>
      </c>
      <c r="G50" s="18">
        <f>SetEnemyHard!M55</f>
        <v>5</v>
      </c>
      <c r="H50" s="18">
        <f>SetEnemyHard!N55</f>
        <v>30</v>
      </c>
      <c r="I50" s="18">
        <f>SetEnemyHard!O55</f>
        <v>6</v>
      </c>
      <c r="J50" s="18">
        <f>SetEnemyHard!P55</f>
        <v>21</v>
      </c>
      <c r="K50" s="18">
        <f>SetEnemyHard!R55</f>
        <v>0</v>
      </c>
      <c r="L50" s="18">
        <f>SetEnemyHard!S55</f>
        <v>0</v>
      </c>
    </row>
    <row r="51" spans="1:12" x14ac:dyDescent="0.15">
      <c r="A51" s="17">
        <f>SetEnemyHard!B56</f>
        <v>3850</v>
      </c>
      <c r="B51" s="17">
        <f>SetEnemyHard!D56</f>
        <v>0</v>
      </c>
      <c r="C51" s="17">
        <f>SetEnemyHard!F56</f>
        <v>7</v>
      </c>
      <c r="D51" s="17">
        <f>SetEnemyHard!H56</f>
        <v>4</v>
      </c>
      <c r="E51" s="17">
        <f>SetEnemyHard!J56</f>
        <v>0</v>
      </c>
      <c r="F51" s="17">
        <f>SetEnemyHard!L56</f>
        <v>0</v>
      </c>
      <c r="G51" s="17">
        <f>SetEnemyHard!M56</f>
        <v>7</v>
      </c>
      <c r="H51" s="17">
        <f>SetEnemyHard!N56</f>
        <v>1</v>
      </c>
      <c r="I51" s="17">
        <f>SetEnemyHard!O56</f>
        <v>1</v>
      </c>
      <c r="J51" s="17">
        <f>SetEnemyHard!P56</f>
        <v>1</v>
      </c>
      <c r="K51" s="17">
        <f>SetEnemyHard!R56</f>
        <v>0</v>
      </c>
      <c r="L51" s="17">
        <f>SetEnemyHard!S56</f>
        <v>0</v>
      </c>
    </row>
    <row r="52" spans="1:12" x14ac:dyDescent="0.15">
      <c r="A52" s="18">
        <f>SetEnemyHard!B57</f>
        <v>3900</v>
      </c>
      <c r="B52" s="18">
        <f>SetEnemyHard!D57</f>
        <v>7</v>
      </c>
      <c r="C52" s="18">
        <f>SetEnemyHard!F57</f>
        <v>2</v>
      </c>
      <c r="D52" s="18">
        <f>SetEnemyHard!H57</f>
        <v>7</v>
      </c>
      <c r="E52" s="18">
        <f>SetEnemyHard!J57</f>
        <v>5</v>
      </c>
      <c r="F52" s="18">
        <f>SetEnemyHard!L57</f>
        <v>4</v>
      </c>
      <c r="G52" s="18">
        <f>SetEnemyHard!M57</f>
        <v>5</v>
      </c>
      <c r="H52" s="18">
        <f>SetEnemyHard!N57</f>
        <v>30</v>
      </c>
      <c r="I52" s="18">
        <f>SetEnemyHard!O57</f>
        <v>6</v>
      </c>
      <c r="J52" s="18">
        <f>SetEnemyHard!P57</f>
        <v>21</v>
      </c>
      <c r="K52" s="18">
        <f>SetEnemyHard!R57</f>
        <v>0</v>
      </c>
      <c r="L52" s="18">
        <f>SetEnemyHard!S57</f>
        <v>0</v>
      </c>
    </row>
    <row r="53" spans="1:12" x14ac:dyDescent="0.15">
      <c r="A53" s="17">
        <f>SetEnemyHard!B58</f>
        <v>4000</v>
      </c>
      <c r="B53" s="17">
        <f>SetEnemyHard!D58</f>
        <v>7</v>
      </c>
      <c r="C53" s="17">
        <f>SetEnemyHard!F58</f>
        <v>6</v>
      </c>
      <c r="D53" s="17">
        <f>SetEnemyHard!H58</f>
        <v>7</v>
      </c>
      <c r="E53" s="17">
        <f>SetEnemyHard!J58</f>
        <v>5</v>
      </c>
      <c r="F53" s="17">
        <f>SetEnemyHard!L58</f>
        <v>4</v>
      </c>
      <c r="G53" s="17">
        <f>SetEnemyHard!M58</f>
        <v>5</v>
      </c>
      <c r="H53" s="17">
        <f>SetEnemyHard!N58</f>
        <v>30</v>
      </c>
      <c r="I53" s="17">
        <f>SetEnemyHard!O58</f>
        <v>6</v>
      </c>
      <c r="J53" s="17">
        <f>SetEnemyHard!P58</f>
        <v>21</v>
      </c>
      <c r="K53" s="17">
        <f>SetEnemyHard!R58</f>
        <v>0</v>
      </c>
      <c r="L53" s="17">
        <f>SetEnemyHard!S58</f>
        <v>0</v>
      </c>
    </row>
    <row r="54" spans="1:12" x14ac:dyDescent="0.15">
      <c r="A54" s="18">
        <f>SetEnemyHard!B59</f>
        <v>4150</v>
      </c>
      <c r="B54" s="18">
        <f>SetEnemyHard!D59</f>
        <v>3</v>
      </c>
      <c r="C54" s="18">
        <f>SetEnemyHard!F59</f>
        <v>1</v>
      </c>
      <c r="D54" s="18">
        <f>SetEnemyHard!H59</f>
        <v>2</v>
      </c>
      <c r="E54" s="18">
        <f>SetEnemyHard!J59</f>
        <v>0</v>
      </c>
      <c r="F54" s="18">
        <f>SetEnemyHard!L59</f>
        <v>3</v>
      </c>
      <c r="G54" s="18">
        <f>SetEnemyHard!M59</f>
        <v>7</v>
      </c>
      <c r="H54" s="18">
        <f>SetEnemyHard!N59</f>
        <v>20</v>
      </c>
      <c r="I54" s="18">
        <f>SetEnemyHard!O59</f>
        <v>4</v>
      </c>
      <c r="J54" s="18">
        <f>SetEnemyHard!P59</f>
        <v>5</v>
      </c>
      <c r="K54" s="18">
        <f>SetEnemyHard!R59</f>
        <v>0</v>
      </c>
      <c r="L54" s="18">
        <f>SetEnemyHard!S59</f>
        <v>0</v>
      </c>
    </row>
    <row r="55" spans="1:12" x14ac:dyDescent="0.15">
      <c r="A55" s="17">
        <f>SetEnemyHard!B60</f>
        <v>4200</v>
      </c>
      <c r="B55" s="17">
        <f>SetEnemyHard!D60</f>
        <v>3</v>
      </c>
      <c r="C55" s="17">
        <f>SetEnemyHard!F60</f>
        <v>1</v>
      </c>
      <c r="D55" s="17">
        <f>SetEnemyHard!H60</f>
        <v>2</v>
      </c>
      <c r="E55" s="17">
        <f>SetEnemyHard!J60</f>
        <v>0</v>
      </c>
      <c r="F55" s="17">
        <f>SetEnemyHard!L60</f>
        <v>3</v>
      </c>
      <c r="G55" s="17">
        <f>SetEnemyHard!M60</f>
        <v>7</v>
      </c>
      <c r="H55" s="17">
        <f>SetEnemyHard!N60</f>
        <v>20</v>
      </c>
      <c r="I55" s="17">
        <f>SetEnemyHard!O60</f>
        <v>4</v>
      </c>
      <c r="J55" s="17">
        <f>SetEnemyHard!P60</f>
        <v>5</v>
      </c>
      <c r="K55" s="17">
        <f>SetEnemyHard!R60</f>
        <v>0</v>
      </c>
      <c r="L55" s="17">
        <f>SetEnemyHard!S60</f>
        <v>0</v>
      </c>
    </row>
    <row r="56" spans="1:12" x14ac:dyDescent="0.15">
      <c r="A56" s="18">
        <f>SetEnemyHard!B61</f>
        <v>4250</v>
      </c>
      <c r="B56" s="18">
        <f>SetEnemyHard!D61</f>
        <v>3</v>
      </c>
      <c r="C56" s="18">
        <f>SetEnemyHard!F61</f>
        <v>1</v>
      </c>
      <c r="D56" s="18">
        <f>SetEnemyHard!H61</f>
        <v>2</v>
      </c>
      <c r="E56" s="18">
        <f>SetEnemyHard!J61</f>
        <v>0</v>
      </c>
      <c r="F56" s="18">
        <f>SetEnemyHard!L61</f>
        <v>3</v>
      </c>
      <c r="G56" s="18">
        <f>SetEnemyHard!M61</f>
        <v>7</v>
      </c>
      <c r="H56" s="18">
        <f>SetEnemyHard!N61</f>
        <v>20</v>
      </c>
      <c r="I56" s="18">
        <f>SetEnemyHard!O61</f>
        <v>4</v>
      </c>
      <c r="J56" s="18">
        <f>SetEnemyHard!P61</f>
        <v>5</v>
      </c>
      <c r="K56" s="18">
        <f>SetEnemyHard!R61</f>
        <v>0</v>
      </c>
      <c r="L56" s="18">
        <f>SetEnemyHard!S61</f>
        <v>0</v>
      </c>
    </row>
    <row r="57" spans="1:12" x14ac:dyDescent="0.15">
      <c r="A57" s="17">
        <f>SetEnemyHard!B62</f>
        <v>4350</v>
      </c>
      <c r="B57" s="17">
        <f>SetEnemyHard!D62</f>
        <v>4</v>
      </c>
      <c r="C57" s="17">
        <f>SetEnemyHard!F62</f>
        <v>7</v>
      </c>
      <c r="D57" s="17">
        <f>SetEnemyHard!H62</f>
        <v>2</v>
      </c>
      <c r="E57" s="17">
        <f>SetEnemyHard!J62</f>
        <v>0</v>
      </c>
      <c r="F57" s="17">
        <f>SetEnemyHard!L62</f>
        <v>4</v>
      </c>
      <c r="G57" s="17">
        <f>SetEnemyHard!M62</f>
        <v>7</v>
      </c>
      <c r="H57" s="17">
        <f>SetEnemyHard!N62</f>
        <v>20</v>
      </c>
      <c r="I57" s="17">
        <f>SetEnemyHard!O62</f>
        <v>4</v>
      </c>
      <c r="J57" s="17">
        <f>SetEnemyHard!P62</f>
        <v>5</v>
      </c>
      <c r="K57" s="17">
        <f>SetEnemyHard!R62</f>
        <v>0</v>
      </c>
      <c r="L57" s="17">
        <f>SetEnemyHard!S62</f>
        <v>0</v>
      </c>
    </row>
    <row r="58" spans="1:12" x14ac:dyDescent="0.15">
      <c r="A58" s="18">
        <f>SetEnemyHard!B63</f>
        <v>4400</v>
      </c>
      <c r="B58" s="18">
        <f>SetEnemyHard!D63</f>
        <v>4</v>
      </c>
      <c r="C58" s="18">
        <f>SetEnemyHard!F63</f>
        <v>7</v>
      </c>
      <c r="D58" s="18">
        <f>SetEnemyHard!H63</f>
        <v>2</v>
      </c>
      <c r="E58" s="18">
        <f>SetEnemyHard!J63</f>
        <v>0</v>
      </c>
      <c r="F58" s="18">
        <f>SetEnemyHard!L63</f>
        <v>4</v>
      </c>
      <c r="G58" s="18">
        <f>SetEnemyHard!M63</f>
        <v>7</v>
      </c>
      <c r="H58" s="18">
        <f>SetEnemyHard!N63</f>
        <v>20</v>
      </c>
      <c r="I58" s="18">
        <f>SetEnemyHard!O63</f>
        <v>4</v>
      </c>
      <c r="J58" s="18">
        <f>SetEnemyHard!P63</f>
        <v>5</v>
      </c>
      <c r="K58" s="18">
        <f>SetEnemyHard!R63</f>
        <v>0</v>
      </c>
      <c r="L58" s="18">
        <f>SetEnemyHard!S63</f>
        <v>0</v>
      </c>
    </row>
    <row r="59" spans="1:12" x14ac:dyDescent="0.15">
      <c r="A59" s="17">
        <f>SetEnemyHard!B64</f>
        <v>4450</v>
      </c>
      <c r="B59" s="17">
        <f>SetEnemyHard!D64</f>
        <v>4</v>
      </c>
      <c r="C59" s="17">
        <f>SetEnemyHard!F64</f>
        <v>7</v>
      </c>
      <c r="D59" s="17">
        <f>SetEnemyHard!H64</f>
        <v>2</v>
      </c>
      <c r="E59" s="17">
        <f>SetEnemyHard!J64</f>
        <v>0</v>
      </c>
      <c r="F59" s="17">
        <f>SetEnemyHard!L64</f>
        <v>4</v>
      </c>
      <c r="G59" s="17">
        <f>SetEnemyHard!M64</f>
        <v>7</v>
      </c>
      <c r="H59" s="17">
        <f>SetEnemyHard!N64</f>
        <v>20</v>
      </c>
      <c r="I59" s="17">
        <f>SetEnemyHard!O64</f>
        <v>4</v>
      </c>
      <c r="J59" s="17">
        <f>SetEnemyHard!P64</f>
        <v>5</v>
      </c>
      <c r="K59" s="17">
        <f>SetEnemyHard!R64</f>
        <v>0</v>
      </c>
      <c r="L59" s="17">
        <f>SetEnemyHard!S64</f>
        <v>0</v>
      </c>
    </row>
    <row r="60" spans="1:12" x14ac:dyDescent="0.15">
      <c r="A60" s="18">
        <f>SetEnemyHard!B65</f>
        <v>4550</v>
      </c>
      <c r="B60" s="18">
        <f>SetEnemyHard!D65</f>
        <v>2</v>
      </c>
      <c r="C60" s="18">
        <f>SetEnemyHard!F65</f>
        <v>2</v>
      </c>
      <c r="D60" s="18">
        <f>SetEnemyHard!H65</f>
        <v>2</v>
      </c>
      <c r="E60" s="18">
        <f>SetEnemyHard!J65</f>
        <v>0</v>
      </c>
      <c r="F60" s="18">
        <f>SetEnemyHard!L65</f>
        <v>2</v>
      </c>
      <c r="G60" s="18">
        <f>SetEnemyHard!M65</f>
        <v>7</v>
      </c>
      <c r="H60" s="18">
        <f>SetEnemyHard!N65</f>
        <v>20</v>
      </c>
      <c r="I60" s="18">
        <f>SetEnemyHard!O65</f>
        <v>4</v>
      </c>
      <c r="J60" s="18">
        <f>SetEnemyHard!P65</f>
        <v>5</v>
      </c>
      <c r="K60" s="18">
        <f>SetEnemyHard!R65</f>
        <v>0</v>
      </c>
      <c r="L60" s="18">
        <f>SetEnemyHard!S65</f>
        <v>0</v>
      </c>
    </row>
    <row r="61" spans="1:12" x14ac:dyDescent="0.15">
      <c r="A61" s="17">
        <f>SetEnemyHard!B66</f>
        <v>4600</v>
      </c>
      <c r="B61" s="17">
        <f>SetEnemyHard!D66</f>
        <v>2</v>
      </c>
      <c r="C61" s="17">
        <f>SetEnemyHard!F66</f>
        <v>2</v>
      </c>
      <c r="D61" s="17">
        <f>SetEnemyHard!H66</f>
        <v>2</v>
      </c>
      <c r="E61" s="17">
        <f>SetEnemyHard!J66</f>
        <v>0</v>
      </c>
      <c r="F61" s="17">
        <f>SetEnemyHard!L66</f>
        <v>2</v>
      </c>
      <c r="G61" s="17">
        <f>SetEnemyHard!M66</f>
        <v>7</v>
      </c>
      <c r="H61" s="17">
        <f>SetEnemyHard!N66</f>
        <v>20</v>
      </c>
      <c r="I61" s="17">
        <f>SetEnemyHard!O66</f>
        <v>4</v>
      </c>
      <c r="J61" s="17">
        <f>SetEnemyHard!P66</f>
        <v>5</v>
      </c>
      <c r="K61" s="17">
        <f>SetEnemyHard!R66</f>
        <v>0</v>
      </c>
      <c r="L61" s="17">
        <f>SetEnemyHard!S66</f>
        <v>0</v>
      </c>
    </row>
    <row r="62" spans="1:12" x14ac:dyDescent="0.15">
      <c r="A62" s="18">
        <f>SetEnemyHard!B67</f>
        <v>4650</v>
      </c>
      <c r="B62" s="18">
        <f>SetEnemyHard!D67</f>
        <v>2</v>
      </c>
      <c r="C62" s="18">
        <f>SetEnemyHard!F67</f>
        <v>2</v>
      </c>
      <c r="D62" s="18">
        <f>SetEnemyHard!H67</f>
        <v>2</v>
      </c>
      <c r="E62" s="18">
        <f>SetEnemyHard!J67</f>
        <v>0</v>
      </c>
      <c r="F62" s="18">
        <f>SetEnemyHard!L67</f>
        <v>2</v>
      </c>
      <c r="G62" s="18">
        <f>SetEnemyHard!M67</f>
        <v>7</v>
      </c>
      <c r="H62" s="18">
        <f>SetEnemyHard!N67</f>
        <v>20</v>
      </c>
      <c r="I62" s="18">
        <f>SetEnemyHard!O67</f>
        <v>4</v>
      </c>
      <c r="J62" s="18">
        <f>SetEnemyHard!P67</f>
        <v>5</v>
      </c>
      <c r="K62" s="18">
        <f>SetEnemyHard!R67</f>
        <v>0</v>
      </c>
      <c r="L62" s="18">
        <f>SetEnemyHard!S67</f>
        <v>0</v>
      </c>
    </row>
    <row r="63" spans="1:12" x14ac:dyDescent="0.15">
      <c r="A63" s="17">
        <f>SetEnemyHard!B68</f>
        <v>0</v>
      </c>
      <c r="B63" s="17">
        <f>SetEnemyHard!D68</f>
        <v>0</v>
      </c>
      <c r="C63" s="17">
        <f>SetEnemyHard!F68</f>
        <v>0</v>
      </c>
      <c r="D63" s="17">
        <f>SetEnemyHard!H68</f>
        <v>0</v>
      </c>
      <c r="E63" s="17">
        <f>SetEnemyHard!J68</f>
        <v>0</v>
      </c>
      <c r="F63" s="17">
        <f>SetEnemyHard!L68</f>
        <v>0</v>
      </c>
      <c r="G63" s="17">
        <f>SetEnemyHard!M68</f>
        <v>0</v>
      </c>
      <c r="H63" s="17">
        <f>SetEnemyHard!N68</f>
        <v>0</v>
      </c>
      <c r="I63" s="17">
        <f>SetEnemyHard!O68</f>
        <v>0</v>
      </c>
      <c r="J63" s="17">
        <f>SetEnemyHard!P68</f>
        <v>0</v>
      </c>
      <c r="K63" s="17">
        <f>SetEnemyHard!R68</f>
        <v>0</v>
      </c>
      <c r="L63" s="17">
        <f>SetEnemyHard!S68</f>
        <v>0</v>
      </c>
    </row>
    <row r="64" spans="1:12" x14ac:dyDescent="0.15">
      <c r="A64" s="18">
        <f>SetEnemyHard!B69</f>
        <v>0</v>
      </c>
      <c r="B64" s="18">
        <f>SetEnemyHard!D69</f>
        <v>0</v>
      </c>
      <c r="C64" s="18">
        <f>SetEnemyHard!F69</f>
        <v>0</v>
      </c>
      <c r="D64" s="18">
        <f>SetEnemyHard!H69</f>
        <v>0</v>
      </c>
      <c r="E64" s="18">
        <f>SetEnemyHard!J69</f>
        <v>0</v>
      </c>
      <c r="F64" s="18">
        <f>SetEnemyHard!L69</f>
        <v>0</v>
      </c>
      <c r="G64" s="18">
        <f>SetEnemyHard!M69</f>
        <v>0</v>
      </c>
      <c r="H64" s="18">
        <f>SetEnemyHard!N69</f>
        <v>0</v>
      </c>
      <c r="I64" s="18">
        <f>SetEnemyHard!O69</f>
        <v>0</v>
      </c>
      <c r="J64" s="18">
        <f>SetEnemyHard!P69</f>
        <v>0</v>
      </c>
      <c r="K64" s="18">
        <f>SetEnemyHard!R69</f>
        <v>0</v>
      </c>
      <c r="L64" s="18">
        <f>SetEnemyHard!S69</f>
        <v>0</v>
      </c>
    </row>
    <row r="65" spans="1:12" x14ac:dyDescent="0.15">
      <c r="A65" s="17">
        <f>SetEnemyHard!B70</f>
        <v>0</v>
      </c>
      <c r="B65" s="17">
        <f>SetEnemyHard!D70</f>
        <v>0</v>
      </c>
      <c r="C65" s="17">
        <f>SetEnemyHard!F70</f>
        <v>0</v>
      </c>
      <c r="D65" s="17">
        <f>SetEnemyHard!H70</f>
        <v>0</v>
      </c>
      <c r="E65" s="17">
        <f>SetEnemyHard!J70</f>
        <v>0</v>
      </c>
      <c r="F65" s="17">
        <f>SetEnemyHard!L70</f>
        <v>0</v>
      </c>
      <c r="G65" s="17">
        <f>SetEnemyHard!M70</f>
        <v>0</v>
      </c>
      <c r="H65" s="17">
        <f>SetEnemyHard!N70</f>
        <v>0</v>
      </c>
      <c r="I65" s="17">
        <f>SetEnemyHard!O70</f>
        <v>0</v>
      </c>
      <c r="J65" s="17">
        <f>SetEnemyHard!P70</f>
        <v>0</v>
      </c>
      <c r="K65" s="17">
        <f>SetEnemyHard!R70</f>
        <v>0</v>
      </c>
      <c r="L65" s="17">
        <f>SetEnemyHard!S70</f>
        <v>0</v>
      </c>
    </row>
    <row r="66" spans="1:12" x14ac:dyDescent="0.15">
      <c r="A66" s="18">
        <f>SetEnemyHard!B71</f>
        <v>0</v>
      </c>
      <c r="B66" s="18">
        <f>SetEnemyHard!D71</f>
        <v>0</v>
      </c>
      <c r="C66" s="18">
        <f>SetEnemyHard!F71</f>
        <v>0</v>
      </c>
      <c r="D66" s="18">
        <f>SetEnemyHard!H71</f>
        <v>0</v>
      </c>
      <c r="E66" s="18">
        <f>SetEnemyHard!J71</f>
        <v>0</v>
      </c>
      <c r="F66" s="18">
        <f>SetEnemyHard!L71</f>
        <v>0</v>
      </c>
      <c r="G66" s="18">
        <f>SetEnemyHard!M71</f>
        <v>0</v>
      </c>
      <c r="H66" s="18">
        <f>SetEnemyHard!N71</f>
        <v>0</v>
      </c>
      <c r="I66" s="18">
        <f>SetEnemyHard!O71</f>
        <v>0</v>
      </c>
      <c r="J66" s="18">
        <f>SetEnemyHard!P71</f>
        <v>0</v>
      </c>
      <c r="K66" s="18">
        <f>SetEnemyHard!R71</f>
        <v>0</v>
      </c>
      <c r="L66" s="18">
        <f>SetEnemyHard!S71</f>
        <v>0</v>
      </c>
    </row>
    <row r="67" spans="1:12" x14ac:dyDescent="0.15">
      <c r="A67" s="17">
        <f>SetEnemyHard!B72</f>
        <v>0</v>
      </c>
      <c r="B67" s="17">
        <f>SetEnemyHard!D72</f>
        <v>0</v>
      </c>
      <c r="C67" s="17">
        <f>SetEnemyHard!F72</f>
        <v>0</v>
      </c>
      <c r="D67" s="17">
        <f>SetEnemyHard!H72</f>
        <v>0</v>
      </c>
      <c r="E67" s="17">
        <f>SetEnemyHard!J72</f>
        <v>0</v>
      </c>
      <c r="F67" s="17">
        <f>SetEnemyHard!L72</f>
        <v>0</v>
      </c>
      <c r="G67" s="17">
        <f>SetEnemyHard!M72</f>
        <v>0</v>
      </c>
      <c r="H67" s="17">
        <f>SetEnemyHard!N72</f>
        <v>0</v>
      </c>
      <c r="I67" s="17">
        <f>SetEnemyHard!O72</f>
        <v>0</v>
      </c>
      <c r="J67" s="17">
        <f>SetEnemyHard!P72</f>
        <v>0</v>
      </c>
      <c r="K67" s="17">
        <f>SetEnemyHard!R72</f>
        <v>0</v>
      </c>
      <c r="L67" s="17">
        <f>SetEnemyHard!S72</f>
        <v>0</v>
      </c>
    </row>
    <row r="68" spans="1:12" x14ac:dyDescent="0.15">
      <c r="A68" s="18">
        <f>SetEnemyHard!B73</f>
        <v>0</v>
      </c>
      <c r="B68" s="18">
        <f>SetEnemyHard!D73</f>
        <v>0</v>
      </c>
      <c r="C68" s="18">
        <f>SetEnemyHard!F73</f>
        <v>0</v>
      </c>
      <c r="D68" s="18">
        <f>SetEnemyHard!H73</f>
        <v>0</v>
      </c>
      <c r="E68" s="18">
        <f>SetEnemyHard!J73</f>
        <v>0</v>
      </c>
      <c r="F68" s="18">
        <f>SetEnemyHard!L73</f>
        <v>0</v>
      </c>
      <c r="G68" s="18">
        <f>SetEnemyHard!M73</f>
        <v>0</v>
      </c>
      <c r="H68" s="18">
        <f>SetEnemyHard!N73</f>
        <v>0</v>
      </c>
      <c r="I68" s="18">
        <f>SetEnemyHard!O73</f>
        <v>0</v>
      </c>
      <c r="J68" s="18">
        <f>SetEnemyHard!P73</f>
        <v>0</v>
      </c>
      <c r="K68" s="18">
        <f>SetEnemyHard!R73</f>
        <v>0</v>
      </c>
      <c r="L68" s="18">
        <f>SetEnemyHard!S73</f>
        <v>0</v>
      </c>
    </row>
    <row r="69" spans="1:12" x14ac:dyDescent="0.15">
      <c r="A69" s="17">
        <f>SetEnemyHard!B74</f>
        <v>0</v>
      </c>
      <c r="B69" s="17">
        <f>SetEnemyHard!D74</f>
        <v>0</v>
      </c>
      <c r="C69" s="17">
        <f>SetEnemyHard!F74</f>
        <v>0</v>
      </c>
      <c r="D69" s="17">
        <f>SetEnemyHard!H74</f>
        <v>0</v>
      </c>
      <c r="E69" s="17">
        <f>SetEnemyHard!J74</f>
        <v>0</v>
      </c>
      <c r="F69" s="17">
        <f>SetEnemyHard!L74</f>
        <v>0</v>
      </c>
      <c r="G69" s="17">
        <f>SetEnemyHard!M74</f>
        <v>0</v>
      </c>
      <c r="H69" s="17">
        <f>SetEnemyHard!N74</f>
        <v>0</v>
      </c>
      <c r="I69" s="17">
        <f>SetEnemyHard!O74</f>
        <v>0</v>
      </c>
      <c r="J69" s="17">
        <f>SetEnemyHard!P74</f>
        <v>0</v>
      </c>
      <c r="K69" s="17">
        <f>SetEnemyHard!R74</f>
        <v>0</v>
      </c>
      <c r="L69" s="17">
        <f>SetEnemyHard!S74</f>
        <v>0</v>
      </c>
    </row>
    <row r="70" spans="1:12" x14ac:dyDescent="0.15">
      <c r="A70" s="18">
        <f>SetEnemyHard!B75</f>
        <v>0</v>
      </c>
      <c r="B70" s="18">
        <f>SetEnemyHard!D75</f>
        <v>0</v>
      </c>
      <c r="C70" s="18">
        <f>SetEnemyHard!F75</f>
        <v>0</v>
      </c>
      <c r="D70" s="18">
        <f>SetEnemyHard!H75</f>
        <v>0</v>
      </c>
      <c r="E70" s="18">
        <f>SetEnemyHard!J75</f>
        <v>0</v>
      </c>
      <c r="F70" s="18">
        <f>SetEnemyHard!L75</f>
        <v>0</v>
      </c>
      <c r="G70" s="18">
        <f>SetEnemyHard!M75</f>
        <v>0</v>
      </c>
      <c r="H70" s="18">
        <f>SetEnemyHard!N75</f>
        <v>0</v>
      </c>
      <c r="I70" s="18">
        <f>SetEnemyHard!O75</f>
        <v>0</v>
      </c>
      <c r="J70" s="18">
        <f>SetEnemyHard!P75</f>
        <v>0</v>
      </c>
      <c r="K70" s="18">
        <f>SetEnemyHard!R75</f>
        <v>0</v>
      </c>
      <c r="L70" s="18">
        <f>SetEnemyHard!S75</f>
        <v>0</v>
      </c>
    </row>
    <row r="71" spans="1:12" x14ac:dyDescent="0.15">
      <c r="A71" s="17">
        <f>SetEnemyHard!B76</f>
        <v>0</v>
      </c>
      <c r="B71" s="17">
        <f>SetEnemyHard!D76</f>
        <v>0</v>
      </c>
      <c r="C71" s="17">
        <f>SetEnemyHard!F76</f>
        <v>0</v>
      </c>
      <c r="D71" s="17">
        <f>SetEnemyHard!H76</f>
        <v>0</v>
      </c>
      <c r="E71" s="17">
        <f>SetEnemyHard!J76</f>
        <v>0</v>
      </c>
      <c r="F71" s="17">
        <f>SetEnemyHard!L76</f>
        <v>0</v>
      </c>
      <c r="G71" s="17">
        <f>SetEnemyHard!M76</f>
        <v>0</v>
      </c>
      <c r="H71" s="17">
        <f>SetEnemyHard!N76</f>
        <v>0</v>
      </c>
      <c r="I71" s="17">
        <f>SetEnemyHard!O76</f>
        <v>0</v>
      </c>
      <c r="J71" s="17">
        <f>SetEnemyHard!P76</f>
        <v>0</v>
      </c>
      <c r="K71" s="17">
        <f>SetEnemyHard!R76</f>
        <v>0</v>
      </c>
      <c r="L71" s="17">
        <f>SetEnemyHard!S76</f>
        <v>0</v>
      </c>
    </row>
    <row r="72" spans="1:12" x14ac:dyDescent="0.15">
      <c r="A72" s="18">
        <f>SetEnemyHard!B77</f>
        <v>0</v>
      </c>
      <c r="B72" s="18">
        <f>SetEnemyHard!D77</f>
        <v>0</v>
      </c>
      <c r="C72" s="18">
        <f>SetEnemyHard!F77</f>
        <v>0</v>
      </c>
      <c r="D72" s="18">
        <f>SetEnemyHard!H77</f>
        <v>0</v>
      </c>
      <c r="E72" s="18">
        <f>SetEnemyHard!J77</f>
        <v>0</v>
      </c>
      <c r="F72" s="18">
        <f>SetEnemyHard!L77</f>
        <v>0</v>
      </c>
      <c r="G72" s="18">
        <f>SetEnemyHard!M77</f>
        <v>0</v>
      </c>
      <c r="H72" s="18">
        <f>SetEnemyHard!N77</f>
        <v>0</v>
      </c>
      <c r="I72" s="18">
        <f>SetEnemyHard!O77</f>
        <v>0</v>
      </c>
      <c r="J72" s="18">
        <f>SetEnemyHard!P77</f>
        <v>0</v>
      </c>
      <c r="K72" s="18">
        <f>SetEnemyHard!R77</f>
        <v>0</v>
      </c>
      <c r="L72" s="18">
        <f>SetEnemyHard!S77</f>
        <v>0</v>
      </c>
    </row>
    <row r="73" spans="1:12" x14ac:dyDescent="0.15">
      <c r="A73" s="17">
        <f>SetEnemyHard!B78</f>
        <v>0</v>
      </c>
      <c r="B73" s="17">
        <f>SetEnemyHard!D78</f>
        <v>0</v>
      </c>
      <c r="C73" s="17">
        <f>SetEnemyHard!F78</f>
        <v>0</v>
      </c>
      <c r="D73" s="17">
        <f>SetEnemyHard!H78</f>
        <v>0</v>
      </c>
      <c r="E73" s="17">
        <f>SetEnemyHard!J78</f>
        <v>0</v>
      </c>
      <c r="F73" s="17">
        <f>SetEnemyHard!L78</f>
        <v>0</v>
      </c>
      <c r="G73" s="17">
        <f>SetEnemyHard!M78</f>
        <v>0</v>
      </c>
      <c r="H73" s="17">
        <f>SetEnemyHard!N78</f>
        <v>0</v>
      </c>
      <c r="I73" s="17">
        <f>SetEnemyHard!O78</f>
        <v>0</v>
      </c>
      <c r="J73" s="17">
        <f>SetEnemyHard!P78</f>
        <v>0</v>
      </c>
      <c r="K73" s="17">
        <f>SetEnemyHard!R78</f>
        <v>0</v>
      </c>
      <c r="L73" s="17">
        <f>SetEnemyHard!S78</f>
        <v>0</v>
      </c>
    </row>
    <row r="74" spans="1:12" x14ac:dyDescent="0.15">
      <c r="A74" s="18">
        <f>SetEnemyHard!B79</f>
        <v>0</v>
      </c>
      <c r="B74" s="18">
        <f>SetEnemyHard!D79</f>
        <v>0</v>
      </c>
      <c r="C74" s="18">
        <f>SetEnemyHard!F79</f>
        <v>0</v>
      </c>
      <c r="D74" s="18">
        <f>SetEnemyHard!H79</f>
        <v>0</v>
      </c>
      <c r="E74" s="18">
        <f>SetEnemyHard!J79</f>
        <v>0</v>
      </c>
      <c r="F74" s="18">
        <f>SetEnemyHard!L79</f>
        <v>0</v>
      </c>
      <c r="G74" s="18">
        <f>SetEnemyHard!M79</f>
        <v>0</v>
      </c>
      <c r="H74" s="18">
        <f>SetEnemyHard!N79</f>
        <v>0</v>
      </c>
      <c r="I74" s="18">
        <f>SetEnemyHard!O79</f>
        <v>0</v>
      </c>
      <c r="J74" s="18">
        <f>SetEnemyHard!P79</f>
        <v>0</v>
      </c>
      <c r="K74" s="18">
        <f>SetEnemyHard!R79</f>
        <v>0</v>
      </c>
      <c r="L74" s="18">
        <f>SetEnemyHard!S79</f>
        <v>0</v>
      </c>
    </row>
    <row r="75" spans="1:12" x14ac:dyDescent="0.15">
      <c r="A75" s="17">
        <f>SetEnemyHard!B80</f>
        <v>0</v>
      </c>
      <c r="B75" s="17">
        <f>SetEnemyHard!D80</f>
        <v>0</v>
      </c>
      <c r="C75" s="17">
        <f>SetEnemyHard!F80</f>
        <v>0</v>
      </c>
      <c r="D75" s="17">
        <f>SetEnemyHard!H80</f>
        <v>0</v>
      </c>
      <c r="E75" s="17">
        <f>SetEnemyHard!J80</f>
        <v>0</v>
      </c>
      <c r="F75" s="17">
        <f>SetEnemyHard!L80</f>
        <v>0</v>
      </c>
      <c r="G75" s="17">
        <f>SetEnemyHard!M80</f>
        <v>0</v>
      </c>
      <c r="H75" s="17">
        <f>SetEnemyHard!N80</f>
        <v>0</v>
      </c>
      <c r="I75" s="17">
        <f>SetEnemyHard!O80</f>
        <v>0</v>
      </c>
      <c r="J75" s="17">
        <f>SetEnemyHard!P80</f>
        <v>0</v>
      </c>
      <c r="K75" s="17">
        <f>SetEnemyHard!R80</f>
        <v>0</v>
      </c>
      <c r="L75" s="17">
        <f>SetEnemyHard!S80</f>
        <v>0</v>
      </c>
    </row>
    <row r="76" spans="1:12" x14ac:dyDescent="0.15">
      <c r="A76" s="18">
        <f>SetEnemyHard!B81</f>
        <v>0</v>
      </c>
      <c r="B76" s="18">
        <f>SetEnemyHard!D81</f>
        <v>0</v>
      </c>
      <c r="C76" s="18">
        <f>SetEnemyHard!F81</f>
        <v>0</v>
      </c>
      <c r="D76" s="18">
        <f>SetEnemyHard!H81</f>
        <v>0</v>
      </c>
      <c r="E76" s="18">
        <f>SetEnemyHard!J81</f>
        <v>0</v>
      </c>
      <c r="F76" s="18">
        <f>SetEnemyHard!L81</f>
        <v>0</v>
      </c>
      <c r="G76" s="18">
        <f>SetEnemyHard!M81</f>
        <v>0</v>
      </c>
      <c r="H76" s="18">
        <f>SetEnemyHard!N81</f>
        <v>0</v>
      </c>
      <c r="I76" s="18">
        <f>SetEnemyHard!O81</f>
        <v>0</v>
      </c>
      <c r="J76" s="18">
        <f>SetEnemyHard!P81</f>
        <v>0</v>
      </c>
      <c r="K76" s="18">
        <f>SetEnemyHard!R81</f>
        <v>0</v>
      </c>
      <c r="L76" s="18">
        <f>SetEnemyHard!S81</f>
        <v>0</v>
      </c>
    </row>
    <row r="77" spans="1:12" x14ac:dyDescent="0.15">
      <c r="A77" s="17">
        <f>SetEnemyHard!B82</f>
        <v>0</v>
      </c>
      <c r="B77" s="17">
        <f>SetEnemyHard!D82</f>
        <v>0</v>
      </c>
      <c r="C77" s="17">
        <f>SetEnemyHard!F82</f>
        <v>0</v>
      </c>
      <c r="D77" s="17">
        <f>SetEnemyHard!H82</f>
        <v>0</v>
      </c>
      <c r="E77" s="17">
        <f>SetEnemyHard!J82</f>
        <v>0</v>
      </c>
      <c r="F77" s="17">
        <f>SetEnemyHard!L82</f>
        <v>0</v>
      </c>
      <c r="G77" s="17">
        <f>SetEnemyHard!M82</f>
        <v>0</v>
      </c>
      <c r="H77" s="17">
        <f>SetEnemyHard!N82</f>
        <v>0</v>
      </c>
      <c r="I77" s="17">
        <f>SetEnemyHard!O82</f>
        <v>0</v>
      </c>
      <c r="J77" s="17">
        <f>SetEnemyHard!P82</f>
        <v>0</v>
      </c>
      <c r="K77" s="17">
        <f>SetEnemyHard!R82</f>
        <v>0</v>
      </c>
      <c r="L77" s="17">
        <f>SetEnemyHard!S82</f>
        <v>0</v>
      </c>
    </row>
    <row r="78" spans="1:12" x14ac:dyDescent="0.15">
      <c r="A78" s="18">
        <f>SetEnemyHard!B83</f>
        <v>0</v>
      </c>
      <c r="B78" s="18">
        <f>SetEnemyHard!D83</f>
        <v>0</v>
      </c>
      <c r="C78" s="18">
        <f>SetEnemyHard!F83</f>
        <v>0</v>
      </c>
      <c r="D78" s="18">
        <f>SetEnemyHard!H83</f>
        <v>0</v>
      </c>
      <c r="E78" s="18">
        <f>SetEnemyHard!J83</f>
        <v>0</v>
      </c>
      <c r="F78" s="18">
        <f>SetEnemyHard!L83</f>
        <v>0</v>
      </c>
      <c r="G78" s="18">
        <f>SetEnemyHard!M83</f>
        <v>0</v>
      </c>
      <c r="H78" s="18">
        <f>SetEnemyHard!N83</f>
        <v>0</v>
      </c>
      <c r="I78" s="18">
        <f>SetEnemyHard!O83</f>
        <v>0</v>
      </c>
      <c r="J78" s="18">
        <f>SetEnemyHard!P83</f>
        <v>0</v>
      </c>
      <c r="K78" s="18">
        <f>SetEnemyHard!R83</f>
        <v>0</v>
      </c>
      <c r="L78" s="18">
        <f>SetEnemyHard!S83</f>
        <v>0</v>
      </c>
    </row>
    <row r="79" spans="1:12" x14ac:dyDescent="0.15">
      <c r="A79" s="17">
        <f>SetEnemyHard!B84</f>
        <v>0</v>
      </c>
      <c r="B79" s="17">
        <f>SetEnemyHard!D84</f>
        <v>0</v>
      </c>
      <c r="C79" s="17">
        <f>SetEnemyHard!F84</f>
        <v>0</v>
      </c>
      <c r="D79" s="17">
        <f>SetEnemyHard!H84</f>
        <v>0</v>
      </c>
      <c r="E79" s="17">
        <f>SetEnemyHard!J84</f>
        <v>0</v>
      </c>
      <c r="F79" s="17">
        <f>SetEnemyHard!L84</f>
        <v>0</v>
      </c>
      <c r="G79" s="17">
        <f>SetEnemyHard!M84</f>
        <v>0</v>
      </c>
      <c r="H79" s="17">
        <f>SetEnemyHard!N84</f>
        <v>0</v>
      </c>
      <c r="I79" s="17">
        <f>SetEnemyHard!O84</f>
        <v>0</v>
      </c>
      <c r="J79" s="17">
        <f>SetEnemyHard!P84</f>
        <v>0</v>
      </c>
      <c r="K79" s="17">
        <f>SetEnemyHard!R84</f>
        <v>0</v>
      </c>
      <c r="L79" s="17">
        <f>SetEnemyHard!S84</f>
        <v>0</v>
      </c>
    </row>
    <row r="80" spans="1:12" x14ac:dyDescent="0.15">
      <c r="A80" s="18">
        <f>SetEnemyHard!B85</f>
        <v>0</v>
      </c>
      <c r="B80" s="18">
        <f>SetEnemyHard!D85</f>
        <v>0</v>
      </c>
      <c r="C80" s="18">
        <f>SetEnemyHard!F85</f>
        <v>0</v>
      </c>
      <c r="D80" s="18">
        <f>SetEnemyHard!H85</f>
        <v>0</v>
      </c>
      <c r="E80" s="18">
        <f>SetEnemyHard!J85</f>
        <v>0</v>
      </c>
      <c r="F80" s="18">
        <f>SetEnemyHard!L85</f>
        <v>0</v>
      </c>
      <c r="G80" s="18">
        <f>SetEnemyHard!M85</f>
        <v>0</v>
      </c>
      <c r="H80" s="18">
        <f>SetEnemyHard!N85</f>
        <v>0</v>
      </c>
      <c r="I80" s="18">
        <f>SetEnemyHard!O85</f>
        <v>0</v>
      </c>
      <c r="J80" s="18">
        <f>SetEnemyHard!P85</f>
        <v>0</v>
      </c>
      <c r="K80" s="18">
        <f>SetEnemyHard!R85</f>
        <v>0</v>
      </c>
      <c r="L80" s="18">
        <f>SetEnemyHard!S85</f>
        <v>0</v>
      </c>
    </row>
    <row r="81" spans="1:12" x14ac:dyDescent="0.15">
      <c r="A81" s="17">
        <f>SetEnemyHard!B86</f>
        <v>0</v>
      </c>
      <c r="B81" s="17">
        <f>SetEnemyHard!D86</f>
        <v>0</v>
      </c>
      <c r="C81" s="17">
        <f>SetEnemyHard!F86</f>
        <v>0</v>
      </c>
      <c r="D81" s="17">
        <f>SetEnemyHard!H86</f>
        <v>0</v>
      </c>
      <c r="E81" s="17">
        <f>SetEnemyHard!J86</f>
        <v>0</v>
      </c>
      <c r="F81" s="17">
        <f>SetEnemyHard!L86</f>
        <v>0</v>
      </c>
      <c r="G81" s="17">
        <f>SetEnemyHard!M86</f>
        <v>0</v>
      </c>
      <c r="H81" s="17">
        <f>SetEnemyHard!N86</f>
        <v>0</v>
      </c>
      <c r="I81" s="17">
        <f>SetEnemyHard!O86</f>
        <v>0</v>
      </c>
      <c r="J81" s="17">
        <f>SetEnemyHard!P86</f>
        <v>0</v>
      </c>
      <c r="K81" s="17">
        <f>SetEnemyHard!R86</f>
        <v>0</v>
      </c>
      <c r="L81" s="17">
        <f>SetEnemyHard!S86</f>
        <v>0</v>
      </c>
    </row>
    <row r="82" spans="1:12" x14ac:dyDescent="0.15">
      <c r="A82" s="18">
        <f>SetEnemyHard!B87</f>
        <v>0</v>
      </c>
      <c r="B82" s="18">
        <f>SetEnemyHard!D87</f>
        <v>0</v>
      </c>
      <c r="C82" s="18">
        <f>SetEnemyHard!F87</f>
        <v>0</v>
      </c>
      <c r="D82" s="18">
        <f>SetEnemyHard!H87</f>
        <v>0</v>
      </c>
      <c r="E82" s="18">
        <f>SetEnemyHard!J87</f>
        <v>0</v>
      </c>
      <c r="F82" s="18">
        <f>SetEnemyHard!L87</f>
        <v>0</v>
      </c>
      <c r="G82" s="18">
        <f>SetEnemyHard!M87</f>
        <v>0</v>
      </c>
      <c r="H82" s="18">
        <f>SetEnemyHard!N87</f>
        <v>0</v>
      </c>
      <c r="I82" s="18">
        <f>SetEnemyHard!O87</f>
        <v>0</v>
      </c>
      <c r="J82" s="18">
        <f>SetEnemyHard!P87</f>
        <v>0</v>
      </c>
      <c r="K82" s="18">
        <f>SetEnemyHard!R87</f>
        <v>0</v>
      </c>
      <c r="L82" s="18">
        <f>SetEnemyHard!S87</f>
        <v>0</v>
      </c>
    </row>
    <row r="83" spans="1:12" x14ac:dyDescent="0.15">
      <c r="A83" s="17">
        <f>SetEnemyHard!B88</f>
        <v>0</v>
      </c>
      <c r="B83" s="17">
        <f>SetEnemyHard!D88</f>
        <v>0</v>
      </c>
      <c r="C83" s="17">
        <f>SetEnemyHard!F88</f>
        <v>0</v>
      </c>
      <c r="D83" s="17">
        <f>SetEnemyHard!H88</f>
        <v>0</v>
      </c>
      <c r="E83" s="17">
        <f>SetEnemyHard!J88</f>
        <v>0</v>
      </c>
      <c r="F83" s="17">
        <f>SetEnemyHard!L88</f>
        <v>0</v>
      </c>
      <c r="G83" s="17">
        <f>SetEnemyHard!M88</f>
        <v>0</v>
      </c>
      <c r="H83" s="17">
        <f>SetEnemyHard!N88</f>
        <v>0</v>
      </c>
      <c r="I83" s="17">
        <f>SetEnemyHard!O88</f>
        <v>0</v>
      </c>
      <c r="J83" s="17">
        <f>SetEnemyHard!P88</f>
        <v>0</v>
      </c>
      <c r="K83" s="17">
        <f>SetEnemyHard!R88</f>
        <v>0</v>
      </c>
      <c r="L83" s="17">
        <f>SetEnemyHard!S88</f>
        <v>0</v>
      </c>
    </row>
    <row r="84" spans="1:12" x14ac:dyDescent="0.15">
      <c r="A84" s="18">
        <f>SetEnemyHard!B89</f>
        <v>0</v>
      </c>
      <c r="B84" s="18">
        <f>SetEnemyHard!D89</f>
        <v>0</v>
      </c>
      <c r="C84" s="18">
        <f>SetEnemyHard!F89</f>
        <v>0</v>
      </c>
      <c r="D84" s="18">
        <f>SetEnemyHard!H89</f>
        <v>0</v>
      </c>
      <c r="E84" s="18">
        <f>SetEnemyHard!J89</f>
        <v>0</v>
      </c>
      <c r="F84" s="18">
        <f>SetEnemyHard!L89</f>
        <v>0</v>
      </c>
      <c r="G84" s="18">
        <f>SetEnemyHard!M89</f>
        <v>0</v>
      </c>
      <c r="H84" s="18">
        <f>SetEnemyHard!N89</f>
        <v>0</v>
      </c>
      <c r="I84" s="18">
        <f>SetEnemyHard!O89</f>
        <v>0</v>
      </c>
      <c r="J84" s="18">
        <f>SetEnemyHard!P89</f>
        <v>0</v>
      </c>
      <c r="K84" s="18">
        <f>SetEnemyHard!R89</f>
        <v>0</v>
      </c>
      <c r="L84" s="18">
        <f>SetEnemyHard!S89</f>
        <v>0</v>
      </c>
    </row>
    <row r="85" spans="1:12" x14ac:dyDescent="0.15">
      <c r="A85" s="17">
        <f>SetEnemyHard!B90</f>
        <v>0</v>
      </c>
      <c r="B85" s="17">
        <f>SetEnemyHard!D90</f>
        <v>0</v>
      </c>
      <c r="C85" s="17">
        <f>SetEnemyHard!F90</f>
        <v>0</v>
      </c>
      <c r="D85" s="17">
        <f>SetEnemyHard!H90</f>
        <v>0</v>
      </c>
      <c r="E85" s="17">
        <f>SetEnemyHard!J90</f>
        <v>0</v>
      </c>
      <c r="F85" s="17">
        <f>SetEnemyHard!L90</f>
        <v>0</v>
      </c>
      <c r="G85" s="17">
        <f>SetEnemyHard!M90</f>
        <v>0</v>
      </c>
      <c r="H85" s="17">
        <f>SetEnemyHard!N90</f>
        <v>0</v>
      </c>
      <c r="I85" s="17">
        <f>SetEnemyHard!O90</f>
        <v>0</v>
      </c>
      <c r="J85" s="17">
        <f>SetEnemyHard!P90</f>
        <v>0</v>
      </c>
      <c r="K85" s="17">
        <f>SetEnemyHard!R90</f>
        <v>0</v>
      </c>
      <c r="L85" s="17">
        <f>SetEnemyHard!S90</f>
        <v>0</v>
      </c>
    </row>
    <row r="86" spans="1:12" x14ac:dyDescent="0.15">
      <c r="A86" s="18">
        <f>SetEnemyHard!B91</f>
        <v>0</v>
      </c>
      <c r="B86" s="18">
        <f>SetEnemyHard!D91</f>
        <v>0</v>
      </c>
      <c r="C86" s="18">
        <f>SetEnemyHard!F91</f>
        <v>0</v>
      </c>
      <c r="D86" s="18">
        <f>SetEnemyHard!H91</f>
        <v>0</v>
      </c>
      <c r="E86" s="18">
        <f>SetEnemyHard!J91</f>
        <v>0</v>
      </c>
      <c r="F86" s="18">
        <f>SetEnemyHard!L91</f>
        <v>0</v>
      </c>
      <c r="G86" s="18">
        <f>SetEnemyHard!M91</f>
        <v>0</v>
      </c>
      <c r="H86" s="18">
        <f>SetEnemyHard!N91</f>
        <v>0</v>
      </c>
      <c r="I86" s="18">
        <f>SetEnemyHard!O91</f>
        <v>0</v>
      </c>
      <c r="J86" s="18">
        <f>SetEnemyHard!P91</f>
        <v>0</v>
      </c>
      <c r="K86" s="18">
        <f>SetEnemyHard!R91</f>
        <v>0</v>
      </c>
      <c r="L86" s="18">
        <f>SetEnemyHard!S91</f>
        <v>0</v>
      </c>
    </row>
    <row r="87" spans="1:12" x14ac:dyDescent="0.15">
      <c r="A87" s="17">
        <f>SetEnemyHard!B92</f>
        <v>0</v>
      </c>
      <c r="B87" s="17">
        <f>SetEnemyHard!D92</f>
        <v>0</v>
      </c>
      <c r="C87" s="17">
        <f>SetEnemyHard!F92</f>
        <v>0</v>
      </c>
      <c r="D87" s="17">
        <f>SetEnemyHard!H92</f>
        <v>0</v>
      </c>
      <c r="E87" s="17">
        <f>SetEnemyHard!J92</f>
        <v>0</v>
      </c>
      <c r="F87" s="17">
        <f>SetEnemyHard!L92</f>
        <v>0</v>
      </c>
      <c r="G87" s="17">
        <f>SetEnemyHard!M92</f>
        <v>0</v>
      </c>
      <c r="H87" s="17">
        <f>SetEnemyHard!N92</f>
        <v>0</v>
      </c>
      <c r="I87" s="17">
        <f>SetEnemyHard!O92</f>
        <v>0</v>
      </c>
      <c r="J87" s="17">
        <f>SetEnemyHard!P92</f>
        <v>0</v>
      </c>
      <c r="K87" s="17">
        <f>SetEnemyHard!R92</f>
        <v>0</v>
      </c>
      <c r="L87" s="17">
        <f>SetEnemyHard!S92</f>
        <v>0</v>
      </c>
    </row>
    <row r="88" spans="1:12" x14ac:dyDescent="0.15">
      <c r="A88" s="18">
        <f>SetEnemyHard!B93</f>
        <v>0</v>
      </c>
      <c r="B88" s="18">
        <f>SetEnemyHard!D93</f>
        <v>0</v>
      </c>
      <c r="C88" s="18">
        <f>SetEnemyHard!F93</f>
        <v>0</v>
      </c>
      <c r="D88" s="18">
        <f>SetEnemyHard!H93</f>
        <v>0</v>
      </c>
      <c r="E88" s="18">
        <f>SetEnemyHard!J93</f>
        <v>0</v>
      </c>
      <c r="F88" s="18">
        <f>SetEnemyHard!L93</f>
        <v>0</v>
      </c>
      <c r="G88" s="18">
        <f>SetEnemyHard!M93</f>
        <v>0</v>
      </c>
      <c r="H88" s="18">
        <f>SetEnemyHard!N93</f>
        <v>0</v>
      </c>
      <c r="I88" s="18">
        <f>SetEnemyHard!O93</f>
        <v>0</v>
      </c>
      <c r="J88" s="18">
        <f>SetEnemyHard!P93</f>
        <v>0</v>
      </c>
      <c r="K88" s="18">
        <f>SetEnemyHard!R93</f>
        <v>0</v>
      </c>
      <c r="L88" s="18">
        <f>SetEnemyHard!S93</f>
        <v>0</v>
      </c>
    </row>
    <row r="89" spans="1:12" x14ac:dyDescent="0.15">
      <c r="A89" s="17">
        <f>SetEnemyHard!B94</f>
        <v>0</v>
      </c>
      <c r="B89" s="17">
        <f>SetEnemyHard!D94</f>
        <v>0</v>
      </c>
      <c r="C89" s="17">
        <f>SetEnemyHard!F94</f>
        <v>0</v>
      </c>
      <c r="D89" s="17">
        <f>SetEnemyHard!H94</f>
        <v>0</v>
      </c>
      <c r="E89" s="17">
        <f>SetEnemyHard!J94</f>
        <v>0</v>
      </c>
      <c r="F89" s="17">
        <f>SetEnemyHard!L94</f>
        <v>0</v>
      </c>
      <c r="G89" s="17">
        <f>SetEnemyHard!M94</f>
        <v>0</v>
      </c>
      <c r="H89" s="17">
        <f>SetEnemyHard!N94</f>
        <v>0</v>
      </c>
      <c r="I89" s="17">
        <f>SetEnemyHard!O94</f>
        <v>0</v>
      </c>
      <c r="J89" s="17">
        <f>SetEnemyHard!P94</f>
        <v>0</v>
      </c>
      <c r="K89" s="17">
        <f>SetEnemyHard!R94</f>
        <v>0</v>
      </c>
      <c r="L89" s="17">
        <f>SetEnemyHard!S94</f>
        <v>0</v>
      </c>
    </row>
    <row r="90" spans="1:12" x14ac:dyDescent="0.15">
      <c r="A90" s="18">
        <f>SetEnemyHard!B95</f>
        <v>0</v>
      </c>
      <c r="B90" s="18">
        <f>SetEnemyHard!D95</f>
        <v>0</v>
      </c>
      <c r="C90" s="18">
        <f>SetEnemyHard!F95</f>
        <v>0</v>
      </c>
      <c r="D90" s="18">
        <f>SetEnemyHard!H95</f>
        <v>0</v>
      </c>
      <c r="E90" s="18">
        <f>SetEnemyHard!J95</f>
        <v>0</v>
      </c>
      <c r="F90" s="18">
        <f>SetEnemyHard!L95</f>
        <v>0</v>
      </c>
      <c r="G90" s="18">
        <f>SetEnemyHard!M95</f>
        <v>0</v>
      </c>
      <c r="H90" s="18">
        <f>SetEnemyHard!N95</f>
        <v>0</v>
      </c>
      <c r="I90" s="18">
        <f>SetEnemyHard!O95</f>
        <v>0</v>
      </c>
      <c r="J90" s="18">
        <f>SetEnemyHard!P95</f>
        <v>0</v>
      </c>
      <c r="K90" s="18">
        <f>SetEnemyHard!R95</f>
        <v>0</v>
      </c>
      <c r="L90" s="18">
        <f>SetEnemyHard!S95</f>
        <v>0</v>
      </c>
    </row>
    <row r="91" spans="1:12" x14ac:dyDescent="0.15">
      <c r="A91" s="17">
        <f>SetEnemyHard!B96</f>
        <v>0</v>
      </c>
      <c r="B91" s="17">
        <f>SetEnemyHard!D96</f>
        <v>0</v>
      </c>
      <c r="C91" s="17">
        <f>SetEnemyHard!F96</f>
        <v>0</v>
      </c>
      <c r="D91" s="17">
        <f>SetEnemyHard!H96</f>
        <v>0</v>
      </c>
      <c r="E91" s="17">
        <f>SetEnemyHard!J96</f>
        <v>0</v>
      </c>
      <c r="F91" s="17">
        <f>SetEnemyHard!L96</f>
        <v>0</v>
      </c>
      <c r="G91" s="17">
        <f>SetEnemyHard!M96</f>
        <v>0</v>
      </c>
      <c r="H91" s="17">
        <f>SetEnemyHard!N96</f>
        <v>0</v>
      </c>
      <c r="I91" s="17">
        <f>SetEnemyHard!O96</f>
        <v>0</v>
      </c>
      <c r="J91" s="17">
        <f>SetEnemyHard!P96</f>
        <v>0</v>
      </c>
      <c r="K91" s="17">
        <f>SetEnemyHard!R96</f>
        <v>0</v>
      </c>
      <c r="L91" s="17">
        <f>SetEnemyHard!S96</f>
        <v>0</v>
      </c>
    </row>
    <row r="92" spans="1:12" x14ac:dyDescent="0.15">
      <c r="A92" s="18">
        <f>SetEnemyHard!B97</f>
        <v>0</v>
      </c>
      <c r="B92" s="18">
        <f>SetEnemyHard!D97</f>
        <v>0</v>
      </c>
      <c r="C92" s="18">
        <f>SetEnemyHard!F97</f>
        <v>0</v>
      </c>
      <c r="D92" s="18">
        <f>SetEnemyHard!H97</f>
        <v>0</v>
      </c>
      <c r="E92" s="18">
        <f>SetEnemyHard!J97</f>
        <v>0</v>
      </c>
      <c r="F92" s="18">
        <f>SetEnemyHard!L97</f>
        <v>0</v>
      </c>
      <c r="G92" s="18">
        <f>SetEnemyHard!M97</f>
        <v>0</v>
      </c>
      <c r="H92" s="18">
        <f>SetEnemyHard!N97</f>
        <v>0</v>
      </c>
      <c r="I92" s="18">
        <f>SetEnemyHard!O97</f>
        <v>0</v>
      </c>
      <c r="J92" s="18">
        <f>SetEnemyHard!P97</f>
        <v>0</v>
      </c>
      <c r="K92" s="18">
        <f>SetEnemyHard!R97</f>
        <v>0</v>
      </c>
      <c r="L92" s="18">
        <f>SetEnemyHard!S97</f>
        <v>0</v>
      </c>
    </row>
    <row r="93" spans="1:12" x14ac:dyDescent="0.15">
      <c r="A93" s="17">
        <f>SetEnemyHard!B98</f>
        <v>0</v>
      </c>
      <c r="B93" s="17">
        <f>SetEnemyHard!D98</f>
        <v>0</v>
      </c>
      <c r="C93" s="17">
        <f>SetEnemyHard!F98</f>
        <v>0</v>
      </c>
      <c r="D93" s="17">
        <f>SetEnemyHard!H98</f>
        <v>0</v>
      </c>
      <c r="E93" s="17">
        <f>SetEnemyHard!J98</f>
        <v>0</v>
      </c>
      <c r="F93" s="17">
        <f>SetEnemyHard!L98</f>
        <v>0</v>
      </c>
      <c r="G93" s="17">
        <f>SetEnemyHard!M98</f>
        <v>0</v>
      </c>
      <c r="H93" s="17">
        <f>SetEnemyHard!N98</f>
        <v>0</v>
      </c>
      <c r="I93" s="17">
        <f>SetEnemyHard!O98</f>
        <v>0</v>
      </c>
      <c r="J93" s="17">
        <f>SetEnemyHard!P98</f>
        <v>0</v>
      </c>
      <c r="K93" s="17">
        <f>SetEnemyHard!R98</f>
        <v>0</v>
      </c>
      <c r="L93" s="17">
        <f>SetEnemyHard!S98</f>
        <v>0</v>
      </c>
    </row>
    <row r="94" spans="1:12" x14ac:dyDescent="0.15">
      <c r="A94" s="18">
        <f>SetEnemyHard!B99</f>
        <v>0</v>
      </c>
      <c r="B94" s="18">
        <f>SetEnemyHard!D99</f>
        <v>0</v>
      </c>
      <c r="C94" s="18">
        <f>SetEnemyHard!F99</f>
        <v>0</v>
      </c>
      <c r="D94" s="18">
        <f>SetEnemyHard!H99</f>
        <v>0</v>
      </c>
      <c r="E94" s="18">
        <f>SetEnemyHard!J99</f>
        <v>0</v>
      </c>
      <c r="F94" s="18">
        <f>SetEnemyHard!L99</f>
        <v>0</v>
      </c>
      <c r="G94" s="18">
        <f>SetEnemyHard!M99</f>
        <v>0</v>
      </c>
      <c r="H94" s="18">
        <f>SetEnemyHard!N99</f>
        <v>0</v>
      </c>
      <c r="I94" s="18">
        <f>SetEnemyHard!O99</f>
        <v>0</v>
      </c>
      <c r="J94" s="18">
        <f>SetEnemyHard!P99</f>
        <v>0</v>
      </c>
      <c r="K94" s="18">
        <f>SetEnemyHard!R99</f>
        <v>0</v>
      </c>
      <c r="L94" s="18">
        <f>SetEnemyHard!S99</f>
        <v>0</v>
      </c>
    </row>
    <row r="95" spans="1:12" x14ac:dyDescent="0.15">
      <c r="A95" s="17">
        <f>SetEnemyHard!B100</f>
        <v>0</v>
      </c>
      <c r="B95" s="17">
        <f>SetEnemyHard!D100</f>
        <v>0</v>
      </c>
      <c r="C95" s="17">
        <f>SetEnemyHard!F100</f>
        <v>0</v>
      </c>
      <c r="D95" s="17">
        <f>SetEnemyHard!H100</f>
        <v>0</v>
      </c>
      <c r="E95" s="17">
        <f>SetEnemyHard!J100</f>
        <v>0</v>
      </c>
      <c r="F95" s="17">
        <f>SetEnemyHard!L100</f>
        <v>0</v>
      </c>
      <c r="G95" s="17">
        <f>SetEnemyHard!M100</f>
        <v>0</v>
      </c>
      <c r="H95" s="17">
        <f>SetEnemyHard!N100</f>
        <v>0</v>
      </c>
      <c r="I95" s="17">
        <f>SetEnemyHard!O100</f>
        <v>0</v>
      </c>
      <c r="J95" s="17">
        <f>SetEnemyHard!P100</f>
        <v>0</v>
      </c>
      <c r="K95" s="17">
        <f>SetEnemyHard!R100</f>
        <v>0</v>
      </c>
      <c r="L95" s="17">
        <f>SetEnemyHard!S100</f>
        <v>0</v>
      </c>
    </row>
    <row r="96" spans="1:12" x14ac:dyDescent="0.15">
      <c r="A96" s="18">
        <f>SetEnemyHard!B101</f>
        <v>0</v>
      </c>
      <c r="B96" s="18">
        <f>SetEnemyHard!D101</f>
        <v>0</v>
      </c>
      <c r="C96" s="18">
        <f>SetEnemyHard!F101</f>
        <v>0</v>
      </c>
      <c r="D96" s="18">
        <f>SetEnemyHard!H101</f>
        <v>0</v>
      </c>
      <c r="E96" s="18">
        <f>SetEnemyHard!J101</f>
        <v>0</v>
      </c>
      <c r="F96" s="18">
        <f>SetEnemyHard!L101</f>
        <v>0</v>
      </c>
      <c r="G96" s="18">
        <f>SetEnemyHard!M101</f>
        <v>0</v>
      </c>
      <c r="H96" s="18">
        <f>SetEnemyHard!N101</f>
        <v>0</v>
      </c>
      <c r="I96" s="18">
        <f>SetEnemyHard!O101</f>
        <v>0</v>
      </c>
      <c r="J96" s="18">
        <f>SetEnemyHard!P101</f>
        <v>0</v>
      </c>
      <c r="K96" s="18">
        <f>SetEnemyHard!R101</f>
        <v>0</v>
      </c>
      <c r="L96" s="18">
        <f>SetEnemyHard!S101</f>
        <v>0</v>
      </c>
    </row>
    <row r="97" spans="1:12" x14ac:dyDescent="0.15">
      <c r="A97" s="17">
        <f>SetEnemyHard!B102</f>
        <v>0</v>
      </c>
      <c r="B97" s="17">
        <f>SetEnemyHard!D102</f>
        <v>0</v>
      </c>
      <c r="C97" s="17">
        <f>SetEnemyHard!F102</f>
        <v>0</v>
      </c>
      <c r="D97" s="17">
        <f>SetEnemyHard!H102</f>
        <v>0</v>
      </c>
      <c r="E97" s="17">
        <f>SetEnemyHard!J102</f>
        <v>0</v>
      </c>
      <c r="F97" s="17">
        <f>SetEnemyHard!L102</f>
        <v>0</v>
      </c>
      <c r="G97" s="17">
        <f>SetEnemyHard!M102</f>
        <v>0</v>
      </c>
      <c r="H97" s="17">
        <f>SetEnemyHard!N102</f>
        <v>0</v>
      </c>
      <c r="I97" s="17">
        <f>SetEnemyHard!O102</f>
        <v>0</v>
      </c>
      <c r="J97" s="17">
        <f>SetEnemyHard!P102</f>
        <v>0</v>
      </c>
      <c r="K97" s="17">
        <f>SetEnemyHard!R102</f>
        <v>0</v>
      </c>
      <c r="L97" s="17">
        <f>SetEnemyHard!S102</f>
        <v>0</v>
      </c>
    </row>
    <row r="98" spans="1:12" x14ac:dyDescent="0.15">
      <c r="A98" s="18">
        <f>SetEnemyHard!B103</f>
        <v>0</v>
      </c>
      <c r="B98" s="18">
        <f>SetEnemyHard!D103</f>
        <v>0</v>
      </c>
      <c r="C98" s="18">
        <f>SetEnemyHard!F103</f>
        <v>0</v>
      </c>
      <c r="D98" s="18">
        <f>SetEnemyHard!H103</f>
        <v>0</v>
      </c>
      <c r="E98" s="18">
        <f>SetEnemyHard!J103</f>
        <v>0</v>
      </c>
      <c r="F98" s="18">
        <f>SetEnemyHard!L103</f>
        <v>0</v>
      </c>
      <c r="G98" s="18">
        <f>SetEnemyHard!M103</f>
        <v>0</v>
      </c>
      <c r="H98" s="18">
        <f>SetEnemyHard!N103</f>
        <v>0</v>
      </c>
      <c r="I98" s="18">
        <f>SetEnemyHard!O103</f>
        <v>0</v>
      </c>
      <c r="J98" s="18">
        <f>SetEnemyHard!P103</f>
        <v>0</v>
      </c>
      <c r="K98" s="18">
        <f>SetEnemyHard!R103</f>
        <v>0</v>
      </c>
      <c r="L98" s="18">
        <f>SetEnemyHard!S103</f>
        <v>0</v>
      </c>
    </row>
    <row r="99" spans="1:12" x14ac:dyDescent="0.15">
      <c r="A99" s="17">
        <f>SetEnemyHard!B104</f>
        <v>0</v>
      </c>
      <c r="B99" s="17">
        <f>SetEnemyHard!D104</f>
        <v>0</v>
      </c>
      <c r="C99" s="17">
        <f>SetEnemyHard!F104</f>
        <v>0</v>
      </c>
      <c r="D99" s="17">
        <f>SetEnemyHard!H104</f>
        <v>0</v>
      </c>
      <c r="E99" s="17">
        <f>SetEnemyHard!J104</f>
        <v>0</v>
      </c>
      <c r="F99" s="17">
        <f>SetEnemyHard!L104</f>
        <v>0</v>
      </c>
      <c r="G99" s="17">
        <f>SetEnemyHard!M104</f>
        <v>0</v>
      </c>
      <c r="H99" s="17">
        <f>SetEnemyHard!N104</f>
        <v>0</v>
      </c>
      <c r="I99" s="17">
        <f>SetEnemyHard!O104</f>
        <v>0</v>
      </c>
      <c r="J99" s="17">
        <f>SetEnemyHard!P104</f>
        <v>0</v>
      </c>
      <c r="K99" s="17">
        <f>SetEnemyHard!R104</f>
        <v>0</v>
      </c>
      <c r="L99" s="17">
        <f>SetEnemyHard!S104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SetEnemyEasy</vt:lpstr>
      <vt:lpstr>SetEnemyNormal</vt:lpstr>
      <vt:lpstr>SetEnemyHard</vt:lpstr>
      <vt:lpstr>enum</vt:lpstr>
      <vt:lpstr>SetEnemyEasyCSV</vt:lpstr>
      <vt:lpstr>SetEnemyNormalCSV</vt:lpstr>
      <vt:lpstr>SetEnemyHardCSV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Windows ユーザー</cp:lastModifiedBy>
  <dcterms:created xsi:type="dcterms:W3CDTF">2017-12-20T06:27:06Z</dcterms:created>
  <dcterms:modified xsi:type="dcterms:W3CDTF">2017-12-21T19:29:47Z</dcterms:modified>
</cp:coreProperties>
</file>